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tekK\Documents\Egitim Dashboard\"/>
    </mc:Choice>
  </mc:AlternateContent>
  <xr:revisionPtr revIDLastSave="0" documentId="13_ncr:1_{C70AD978-BC53-4F58-9EDA-46A6B5C44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Ve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2" l="1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B49" i="1" s="1"/>
  <c r="M5" i="2"/>
  <c r="L5" i="2"/>
  <c r="M4" i="2"/>
  <c r="L4" i="2"/>
  <c r="M3" i="2"/>
  <c r="L3" i="2"/>
  <c r="A50" i="1" s="1"/>
  <c r="M2" i="2"/>
  <c r="B74" i="1" s="1"/>
  <c r="L2" i="2"/>
  <c r="B58" i="1" s="1"/>
  <c r="C110" i="1"/>
  <c r="B110" i="1"/>
  <c r="A110" i="1"/>
  <c r="C109" i="1"/>
  <c r="D109" i="1" s="1"/>
  <c r="B109" i="1"/>
  <c r="A109" i="1"/>
  <c r="C108" i="1"/>
  <c r="B108" i="1"/>
  <c r="A108" i="1"/>
  <c r="C107" i="1"/>
  <c r="B107" i="1"/>
  <c r="A107" i="1"/>
  <c r="C106" i="1"/>
  <c r="B106" i="1"/>
  <c r="A106" i="1"/>
  <c r="C105" i="1"/>
  <c r="D105" i="1" s="1"/>
  <c r="B105" i="1"/>
  <c r="A105" i="1"/>
  <c r="C104" i="1"/>
  <c r="D104" i="1" s="1"/>
  <c r="B104" i="1"/>
  <c r="A104" i="1"/>
  <c r="C103" i="1"/>
  <c r="B103" i="1"/>
  <c r="A103" i="1"/>
  <c r="C102" i="1"/>
  <c r="B102" i="1"/>
  <c r="A102" i="1"/>
  <c r="C101" i="1"/>
  <c r="D101" i="1" s="1"/>
  <c r="B101" i="1"/>
  <c r="A101" i="1"/>
  <c r="C100" i="1"/>
  <c r="D100" i="1" s="1"/>
  <c r="B100" i="1"/>
  <c r="A100" i="1"/>
  <c r="C99" i="1"/>
  <c r="B99" i="1"/>
  <c r="A99" i="1"/>
  <c r="C98" i="1"/>
  <c r="B98" i="1"/>
  <c r="A98" i="1"/>
  <c r="C97" i="1"/>
  <c r="D97" i="1" s="1"/>
  <c r="B97" i="1"/>
  <c r="A97" i="1"/>
  <c r="C96" i="1"/>
  <c r="D96" i="1" s="1"/>
  <c r="B96" i="1"/>
  <c r="A96" i="1"/>
  <c r="C95" i="1"/>
  <c r="B95" i="1"/>
  <c r="A95" i="1"/>
  <c r="C94" i="1"/>
  <c r="B94" i="1"/>
  <c r="A94" i="1"/>
  <c r="C93" i="1"/>
  <c r="D93" i="1" s="1"/>
  <c r="B93" i="1"/>
  <c r="A93" i="1"/>
  <c r="C92" i="1"/>
  <c r="D92" i="1" s="1"/>
  <c r="B92" i="1"/>
  <c r="A92" i="1"/>
  <c r="C91" i="1"/>
  <c r="B91" i="1"/>
  <c r="A91" i="1"/>
  <c r="C90" i="1"/>
  <c r="B90" i="1"/>
  <c r="A90" i="1"/>
  <c r="C89" i="1"/>
  <c r="D89" i="1" s="1"/>
  <c r="B89" i="1"/>
  <c r="A89" i="1"/>
  <c r="C88" i="1"/>
  <c r="D88" i="1" s="1"/>
  <c r="B88" i="1"/>
  <c r="A88" i="1"/>
  <c r="C87" i="1"/>
  <c r="B87" i="1"/>
  <c r="A87" i="1"/>
  <c r="B75" i="1"/>
  <c r="A75" i="1"/>
  <c r="B71" i="1"/>
  <c r="B69" i="1"/>
  <c r="A69" i="1"/>
  <c r="B54" i="1"/>
  <c r="A54" i="1"/>
  <c r="A53" i="1"/>
  <c r="H31" i="1"/>
  <c r="G31" i="1"/>
  <c r="C31" i="1"/>
  <c r="B31" i="1"/>
  <c r="H30" i="1"/>
  <c r="G30" i="1"/>
  <c r="C30" i="1"/>
  <c r="B30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K6" i="1"/>
  <c r="I6" i="1"/>
  <c r="E6" i="1"/>
  <c r="C6" i="1"/>
  <c r="A6" i="1"/>
  <c r="K5" i="1"/>
  <c r="I5" i="1"/>
  <c r="G5" i="1"/>
  <c r="E5" i="1"/>
  <c r="C5" i="1"/>
  <c r="A5" i="1"/>
  <c r="A70" i="1" l="1"/>
  <c r="A76" i="1"/>
  <c r="B70" i="1"/>
  <c r="B76" i="1"/>
  <c r="D90" i="1"/>
  <c r="D94" i="1"/>
  <c r="D98" i="1"/>
  <c r="D102" i="1"/>
  <c r="D106" i="1"/>
  <c r="D110" i="1"/>
  <c r="A49" i="1"/>
  <c r="A55" i="1"/>
  <c r="A71" i="1"/>
  <c r="B55" i="1"/>
  <c r="A56" i="1"/>
  <c r="D91" i="1"/>
  <c r="D95" i="1"/>
  <c r="D99" i="1"/>
  <c r="D103" i="1"/>
  <c r="D107" i="1"/>
  <c r="B50" i="1"/>
  <c r="B56" i="1"/>
  <c r="B72" i="1"/>
  <c r="A51" i="1"/>
  <c r="A57" i="1"/>
  <c r="A73" i="1"/>
  <c r="B53" i="1"/>
  <c r="A72" i="1"/>
  <c r="B51" i="1"/>
  <c r="B57" i="1"/>
  <c r="B73" i="1"/>
  <c r="D108" i="1"/>
  <c r="D87" i="1"/>
  <c r="A52" i="1"/>
  <c r="A58" i="1"/>
  <c r="A74" i="1"/>
  <c r="B52" i="1"/>
</calcChain>
</file>

<file path=xl/sharedStrings.xml><?xml version="1.0" encoding="utf-8"?>
<sst xmlns="http://schemas.openxmlformats.org/spreadsheetml/2006/main" count="240" uniqueCount="133">
  <si>
    <t>EĞİTİM DASHBOARD</t>
  </si>
  <si>
    <t>Ocak – Temmuz 2026  ·  46 eğitim faaliyeti  ·  Kaynak: Eğitim takip tablosu</t>
  </si>
  <si>
    <t>TOPLAM EĞİTİM</t>
  </si>
  <si>
    <t>YENİ EĞİTİM</t>
  </si>
  <si>
    <t>TOPLAM KATILIMCI</t>
  </si>
  <si>
    <t>TOPLAM SERTİFİKA</t>
  </si>
  <si>
    <t>ORT. DEĞERLENDİRME</t>
  </si>
  <si>
    <t>TOPLAM EĞİTİM GÜNÜ</t>
  </si>
  <si>
    <t>"Katılımcı başı 1 sertifika"</t>
  </si>
  <si>
    <t>AYLIK TREND</t>
  </si>
  <si>
    <t>Ay</t>
  </si>
  <si>
    <t>Ay No</t>
  </si>
  <si>
    <t>Eğitim Sayısı</t>
  </si>
  <si>
    <t>Katılımcı Sayısı</t>
  </si>
  <si>
    <t>Ocak</t>
  </si>
  <si>
    <t>Şubat</t>
  </si>
  <si>
    <t>Mart</t>
  </si>
  <si>
    <t>Nisan</t>
  </si>
  <si>
    <t>Mayıs</t>
  </si>
  <si>
    <t>Haziran</t>
  </si>
  <si>
    <t>Temmuz</t>
  </si>
  <si>
    <t>EĞİTİM PROFİLİ</t>
  </si>
  <si>
    <t>Eğitim Tipi</t>
  </si>
  <si>
    <t>Eğitim Durumu</t>
  </si>
  <si>
    <t>ÇEVRİM İÇİ</t>
  </si>
  <si>
    <t>PLANLI</t>
  </si>
  <si>
    <t>SINIF İÇİ</t>
  </si>
  <si>
    <t>YENİ</t>
  </si>
  <si>
    <t>EN ÇOK KATILIM ALAN 10 EĞİTİM</t>
  </si>
  <si>
    <t>Eğitim Adı</t>
  </si>
  <si>
    <t>Katılan Kişi Sayısı</t>
  </si>
  <si>
    <t>EN YÜKSEK PUANLI 8 EĞİTİM (5 ÜZERİNDEN)</t>
  </si>
  <si>
    <t>Değerlendirme Puanı</t>
  </si>
  <si>
    <t>BEKLENEN vs. GERÇEKLEŞEN KATILIM (Beklenen kişi sayısı girilmiş 24 eğitim)</t>
  </si>
  <si>
    <t>Beklenen</t>
  </si>
  <si>
    <t>Gerçekleşen</t>
  </si>
  <si>
    <t>Fark</t>
  </si>
  <si>
    <t>Durum</t>
  </si>
  <si>
    <t>Gün Sayısı</t>
  </si>
  <si>
    <t>Tarih</t>
  </si>
  <si>
    <t>Ankete Katılan</t>
  </si>
  <si>
    <t>Beklenen Kişi Sayısı</t>
  </si>
  <si>
    <t>Sertifika Sayısı</t>
  </si>
  <si>
    <t>Katılım Sırası</t>
  </si>
  <si>
    <t>Puan Sırası</t>
  </si>
  <si>
    <t>Yeni Mühendisler için Enerji Verimliliği Eğitimi</t>
  </si>
  <si>
    <t>7-8 Ocak 2026</t>
  </si>
  <si>
    <t>Kapsamiçi Çalışanlar için Enerji Verimliliği ve Çimento Sektörü Uygulamaları Eğitimi</t>
  </si>
  <si>
    <t>1/14/2026</t>
  </si>
  <si>
    <t>C Level Yöneticiler için Siber Güvenlik Eğitimi</t>
  </si>
  <si>
    <t>1/28/2026</t>
  </si>
  <si>
    <t>Yeni Mühendisler için Enerji Verimliliği Eğitimi II. Grup</t>
  </si>
  <si>
    <t>21-22 Ocak 2026</t>
  </si>
  <si>
    <t>Çimento Sektöründe Atıkların Prosese, Kaliteye Etkisi ve Enerji Değişimleri Eğitimi</t>
  </si>
  <si>
    <t>18-19 Şubat 2026</t>
  </si>
  <si>
    <t>Değişim Yönetimi Eğitimi</t>
  </si>
  <si>
    <t>11-12 Şubat 2026</t>
  </si>
  <si>
    <t>Modern Satış Yönetimi ve Liderlik Eğitimi</t>
  </si>
  <si>
    <t>2/17/2026</t>
  </si>
  <si>
    <t>Phyton Temel Düzey Eğitimi</t>
  </si>
  <si>
    <t>23-27 Şubat 2026</t>
  </si>
  <si>
    <t>Enerji Yöneticisi Kursu</t>
  </si>
  <si>
    <t>9-20 Şubat 2026</t>
  </si>
  <si>
    <t>Yeşil Hidrojen ve Çimento Sektörü Webinar Serisi I</t>
  </si>
  <si>
    <t>3/12/2026</t>
  </si>
  <si>
    <t>Su Ayak İzi Hesaplama Eğitimi</t>
  </si>
  <si>
    <t>5-6 Mart 2026</t>
  </si>
  <si>
    <t>Süreç Yönetimi Tabanlı Kurumsal Dönüşüm Eğitimi</t>
  </si>
  <si>
    <t>12-13 Mart 2026</t>
  </si>
  <si>
    <t>Genel Metroloji, Uygulamalı Kalibrasyon ve Doğrulama Eğitimi (Çimentaş için)</t>
  </si>
  <si>
    <t>24-25 Mart 2026</t>
  </si>
  <si>
    <t>Phyton İleri Düzey Eğitimi</t>
  </si>
  <si>
    <t>1-3 Nisan 2026</t>
  </si>
  <si>
    <t>Karbon Ayak İzi Hesaplama /  Raporlama Eğitimi</t>
  </si>
  <si>
    <t>7-8 Nisan 2026</t>
  </si>
  <si>
    <t>Uygulamalı Kömür Numune ve Analiz Eğitimi</t>
  </si>
  <si>
    <t>4/8/2026</t>
  </si>
  <si>
    <t>Öğütme Verimliliği Eğitimi</t>
  </si>
  <si>
    <t>Kaplumbağa Terbiyecisinin Sırrı (Liderlik)</t>
  </si>
  <si>
    <t>4/21/2026</t>
  </si>
  <si>
    <t>Kimyasal Değerlendirme Uzmanı Eğitimi ve Sınavı</t>
  </si>
  <si>
    <t>4-13 Mayıs 2026</t>
  </si>
  <si>
    <t>Makinalarda Duruma Dayalı Bakım (CBM) Kararlarında</t>
  </si>
  <si>
    <t>16-17 Nisan 2026</t>
  </si>
  <si>
    <t>Çimento Sektörü Özelinde Sınırda Karbon Düzenleme Mekanizması Eğitimi</t>
  </si>
  <si>
    <t>Yazılı İletişimde Algı Yönetimi ve Raporlama Eğitimi</t>
  </si>
  <si>
    <t>4/13/2026</t>
  </si>
  <si>
    <t>Pyroprocess Eğitimi</t>
  </si>
  <si>
    <t>5-6 Mayıs 2026</t>
  </si>
  <si>
    <t>İş Süreçlerinde Akıllı Dönüşüm: Veri ve Yapay Zeka (MEXT İş Birliği ile)</t>
  </si>
  <si>
    <t>4/28/2026</t>
  </si>
  <si>
    <t>Düşük Karbon Yolunda Yeni Nesil Çimentolar Zirvesi</t>
  </si>
  <si>
    <t>Yeşil Hidrojen ve Çimento Sektörü Webinar Serisi II</t>
  </si>
  <si>
    <t>4/29/2026</t>
  </si>
  <si>
    <t>Temel Seviye Hidrolik- Elektrohidrolik Eğitimi</t>
  </si>
  <si>
    <t>4-8 Mayıs 2026</t>
  </si>
  <si>
    <t>LCA Eğitimi</t>
  </si>
  <si>
    <t>14-15 Mayıs 2026</t>
  </si>
  <si>
    <t>Sürdürülebilir Tedarik Zinciri Yönetimi Eğitimi</t>
  </si>
  <si>
    <t>29-30 Nisan 2026</t>
  </si>
  <si>
    <t>Uygulamalı Kömür Numune ve Analiz Eğitimi II. Grup</t>
  </si>
  <si>
    <t>5/6/2026</t>
  </si>
  <si>
    <t>Uygulamalı Çimento Analizleri Eğitimi I. Grup</t>
  </si>
  <si>
    <t>5/7/2026</t>
  </si>
  <si>
    <t>Yapay Zeka Çağında Veri Odaklı Liderlik Eğitimi (MEXT İş Birliği ile)</t>
  </si>
  <si>
    <t>5/11/2026</t>
  </si>
  <si>
    <t>Fırın Sisteminde Problem Çözme ve Kök Analizi -Simulasyon Yolu ile</t>
  </si>
  <si>
    <t>13-14 Mayıs 2026</t>
  </si>
  <si>
    <t>Uygulamalı Çimento Analizleri Eğitimi II. Grup</t>
  </si>
  <si>
    <t>5/14/2026</t>
  </si>
  <si>
    <t>Uygulamalı Çimento Analizleri Eğitimi III.Grup</t>
  </si>
  <si>
    <t>5/21/2026</t>
  </si>
  <si>
    <t>Yeşil Hidrojen ve Çimento Sektörü Webinar Serisi III</t>
  </si>
  <si>
    <t>İleri Seviye Hidrolik- Elektrohidrolik Eğitimi</t>
  </si>
  <si>
    <t>10-12 Haziran 2026</t>
  </si>
  <si>
    <t>Yapay Zeka Kullanım Senaryosu Geliştirme Atölyesi Eğitimi (MEXT İş Birliği ile)</t>
  </si>
  <si>
    <t>9-10 Haziran 2026</t>
  </si>
  <si>
    <t>Uygulamalı Atık Numune Hazırlama ve Analiz Eğitimi</t>
  </si>
  <si>
    <t>6/11/2026</t>
  </si>
  <si>
    <t>Numune Alma- Hazırlama Eğitimi (Göltaş Çimento) I. Grup</t>
  </si>
  <si>
    <t>6/18/2026</t>
  </si>
  <si>
    <t>Numune Alma- Hazırlama Eğitimi (Göltaş Çimento) II. Grup</t>
  </si>
  <si>
    <t>6/19/2026</t>
  </si>
  <si>
    <t>Fizik Laboratuvarı Personeli için Ar-Ge Lab Eğitimi (Göltaş Çimento) I. Grup</t>
  </si>
  <si>
    <t>6/22/2026</t>
  </si>
  <si>
    <t>Fizik Laboratuvarı Personeli için Ar-Ge Lab Eğitimi (Göltaş Çimento) II. Grup</t>
  </si>
  <si>
    <t>6/23/2026</t>
  </si>
  <si>
    <t>Kimya ve Beton Laboratuvarı Personeli için Ar-Ge Lab Eğitimi (Göltaş Çimento) I. Grup</t>
  </si>
  <si>
    <t>7/16/2026</t>
  </si>
  <si>
    <t>Kimya ve Beton Laboratuvarı Personeli için Ar-Ge Lab Eğitimi (Göltaş Çimento) II. Grup</t>
  </si>
  <si>
    <t>7/17/2026</t>
  </si>
  <si>
    <t>Sürdürülebilir ve Sorumlu Tedarik Zinciri Yönetimi Eğitimi (Oyak Çimento)</t>
  </si>
  <si>
    <t>22-23 Temmuz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</si>
</sst>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20"/>
      <color rgb="FF1F3864"/>
      <name val="Arial"/>
    </font>
    <font>
      <i/>
      <sz val="10"/>
      <color rgb="FF6B6A66"/>
      <name val="Arial"/>
    </font>
    <font>
      <b/>
      <sz val="9"/>
      <color rgb="FF6B6A66"/>
      <name val="Arial"/>
    </font>
    <font>
      <b/>
      <sz val="20"/>
      <color rgb="FF2A78D6"/>
      <name val="Arial"/>
    </font>
    <font>
      <sz val="8"/>
      <color rgb="FF6B6A66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B0B0B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A78D6"/>
      </patternFill>
    </fill>
  </fills>
  <borders count="2">
    <border>
      <left/>
      <right/>
      <top/>
      <bottom/>
      <diagonal/>
    </border>
    <border>
      <left style="thin">
        <color rgb="FFD9D8D3"/>
      </left>
      <right style="thin">
        <color rgb="FFD9D8D3"/>
      </right>
      <top style="thin">
        <color rgb="FFD9D8D3"/>
      </top>
      <bottom style="thin">
        <color rgb="FFD9D8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indent="1"/>
    </xf>
    <xf numFmtId="3" fontId="10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7" fillId="3" borderId="1" xfId="0" applyFont="1" applyFill="1" applyBorder="1"/>
    <xf numFmtId="0" fontId="0" fillId="0" borderId="1" xfId="0" applyBorder="1"/>
    <xf numFmtId="0" fontId="8" fillId="2" borderId="0" xfId="0" applyFont="1" applyFill="1" applyAlignment="1">
      <alignment horizontal="left" vertical="center" indent="1"/>
    </xf>
    <xf numFmtId="0" fontId="0" fillId="0" borderId="0" xfId="0"/>
    <xf numFmtId="1" fontId="6" fillId="3" borderId="1" xfId="0" applyNumberFormat="1" applyFont="1" applyFill="1" applyBorder="1"/>
    <xf numFmtId="3" fontId="6" fillId="3" borderId="1" xfId="0" applyNumberFormat="1" applyFont="1" applyFill="1" applyBorder="1"/>
    <xf numFmtId="0" fontId="5" fillId="3" borderId="1" xfId="0" applyFont="1" applyFill="1" applyBorder="1"/>
    <xf numFmtId="0" fontId="3" fillId="0" borderId="0" xfId="0" applyFont="1"/>
    <xf numFmtId="2" fontId="6" fillId="3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Aylık Eğitim Sayısı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Dashboard!$C$10</c:f>
              <c:strCache>
                <c:ptCount val="1"/>
                <c:pt idx="0">
                  <c:v>Eğitim Sayısı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Dashboard!$A$11:$A$17</c:f>
              <c:strCache>
                <c:ptCount val="7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</c:strCache>
            </c:strRef>
          </c:cat>
          <c:val>
            <c:numRef>
              <c:f>Dashboard!$C$11:$C$17</c:f>
              <c:numCache>
                <c:formatCode>#,##0</c:formatCode>
                <c:ptCount val="7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12</c:v>
                </c:pt>
                <c:pt idx="4">
                  <c:v>11</c:v>
                </c:pt>
                <c:pt idx="5">
                  <c:v>7</c:v>
                </c:pt>
                <c:pt idx="6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EDA-49A6-8739-313C6D69D5B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Aylık Katılımcı Sayısı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Dashboard!$D$10</c:f>
              <c:strCache>
                <c:ptCount val="1"/>
                <c:pt idx="0">
                  <c:v>Katılımcı Sayısı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Dashboard!$A$11:$A$17</c:f>
              <c:strCache>
                <c:ptCount val="7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</c:strCache>
            </c:strRef>
          </c:cat>
          <c:val>
            <c:numRef>
              <c:f>Dashboard!$D$11:$D$17</c:f>
              <c:numCache>
                <c:formatCode>#,##0</c:formatCode>
                <c:ptCount val="7"/>
                <c:pt idx="0">
                  <c:v>100</c:v>
                </c:pt>
                <c:pt idx="1">
                  <c:v>90</c:v>
                </c:pt>
                <c:pt idx="2">
                  <c:v>230</c:v>
                </c:pt>
                <c:pt idx="3">
                  <c:v>430</c:v>
                </c:pt>
                <c:pt idx="4">
                  <c:v>234</c:v>
                </c:pt>
                <c:pt idx="5">
                  <c:v>51</c:v>
                </c:pt>
                <c:pt idx="6">
                  <c:v>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B8-4344-AF54-99E31E742C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tr-TR"/>
              <a:t>Eğitim Tipi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Dashboard!$B$29</c:f>
              <c:strCache>
                <c:ptCount val="1"/>
                <c:pt idx="0">
                  <c:v>Eğitim Sayısı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Dashboard!$A$30:$A$31</c:f>
              <c:strCache>
                <c:ptCount val="2"/>
                <c:pt idx="0">
                  <c:v>ÇEVRİM İÇİ</c:v>
                </c:pt>
                <c:pt idx="1">
                  <c:v>SINIF İÇİ</c:v>
                </c:pt>
              </c:strCache>
            </c:strRef>
          </c:cat>
          <c:val>
            <c:numRef>
              <c:f>Dashboard!$B$30:$B$31</c:f>
              <c:numCache>
                <c:formatCode>#,##0</c:formatCode>
                <c:ptCount val="2"/>
                <c:pt idx="0">
                  <c:v>14</c:v>
                </c:pt>
                <c:pt idx="1">
                  <c:v>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7AF-4F2F-A367-42684B603183}"/>
            </c:ext>
          </c:extLst>
        </c:ser>
        <c:ser>
          <c:idx val="1"/>
          <c:order val="1"/>
          <c:tx>
            <c:strRef>
              <c:f>Dashboard!$C$29</c:f>
              <c:strCache>
                <c:ptCount val="1"/>
                <c:pt idx="0">
                  <c:v>Katılımcı Sayısı</c:v>
                </c:pt>
              </c:strCache>
            </c:strRef>
          </c:tx>
          <c:spPr>
            <a:solidFill>
              <a:srgbClr val="EB6834"/>
            </a:solidFill>
            <a:ln>
              <a:prstDash val="solid"/>
            </a:ln>
          </c:spPr>
          <c:invertIfNegative val="1"/>
          <c:cat>
            <c:strRef>
              <c:f>Dashboard!$A$30:$A$31</c:f>
              <c:strCache>
                <c:ptCount val="2"/>
                <c:pt idx="0">
                  <c:v>ÇEVRİM İÇİ</c:v>
                </c:pt>
                <c:pt idx="1">
                  <c:v>SINIF İÇİ</c:v>
                </c:pt>
              </c:strCache>
            </c:strRef>
          </c:cat>
          <c:val>
            <c:numRef>
              <c:f>Dashboard!$C$30:$C$31</c:f>
              <c:numCache>
                <c:formatCode>#,##0</c:formatCode>
                <c:ptCount val="2"/>
                <c:pt idx="0">
                  <c:v>733</c:v>
                </c:pt>
                <c:pt idx="1">
                  <c:v>485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7AF-4F2F-A367-42684B60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tr-TR"/>
              <a:t>Eğitim Durumu Dağılımı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Dashboard!$G$29</c:f>
              <c:strCache>
                <c:ptCount val="1"/>
                <c:pt idx="0">
                  <c:v>Eğitim Sayısı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Dashboard!$F$30:$F$31</c:f>
              <c:strCache>
                <c:ptCount val="2"/>
                <c:pt idx="0">
                  <c:v>PLANLI</c:v>
                </c:pt>
                <c:pt idx="1">
                  <c:v>YENİ</c:v>
                </c:pt>
              </c:strCache>
            </c:strRef>
          </c:cat>
          <c:val>
            <c:numRef>
              <c:f>Dashboard!$G$30:$G$31</c:f>
              <c:numCache>
                <c:formatCode>#,##0</c:formatCode>
                <c:ptCount val="2"/>
                <c:pt idx="0">
                  <c:v>24</c:v>
                </c:pt>
                <c:pt idx="1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B9-4A7C-BD15-5E9639DC0E56}"/>
            </c:ext>
          </c:extLst>
        </c:ser>
        <c:ser>
          <c:idx val="1"/>
          <c:order val="1"/>
          <c:tx>
            <c:strRef>
              <c:f>Dashboard!$H$29</c:f>
              <c:strCache>
                <c:ptCount val="1"/>
                <c:pt idx="0">
                  <c:v>Katılımcı Sayısı</c:v>
                </c:pt>
              </c:strCache>
            </c:strRef>
          </c:tx>
          <c:spPr>
            <a:solidFill>
              <a:srgbClr val="EB6834"/>
            </a:solidFill>
            <a:ln>
              <a:prstDash val="solid"/>
            </a:ln>
          </c:spPr>
          <c:invertIfNegative val="1"/>
          <c:cat>
            <c:strRef>
              <c:f>Dashboard!$F$30:$F$31</c:f>
              <c:strCache>
                <c:ptCount val="2"/>
                <c:pt idx="0">
                  <c:v>PLANLI</c:v>
                </c:pt>
                <c:pt idx="1">
                  <c:v>YENİ</c:v>
                </c:pt>
              </c:strCache>
            </c:strRef>
          </c:cat>
          <c:val>
            <c:numRef>
              <c:f>Dashboard!$H$30:$H$31</c:f>
              <c:numCache>
                <c:formatCode>#,##0</c:formatCode>
                <c:ptCount val="2"/>
                <c:pt idx="0">
                  <c:v>500</c:v>
                </c:pt>
                <c:pt idx="1">
                  <c:v>718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B9-4A7C-BD15-5E9639DC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En Çok Katılım Alan 10 Eğitim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Dashboard!$B$48</c:f>
              <c:strCache>
                <c:ptCount val="1"/>
                <c:pt idx="0">
                  <c:v>Katılan Kişi Sayısı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Dashboard!$A$49:$A$58</c:f>
              <c:strCache>
                <c:ptCount val="10"/>
                <c:pt idx="0">
                  <c:v>Yeşil Hidrojen ve Çimento Sektörü Webinar Serisi I</c:v>
                </c:pt>
                <c:pt idx="1">
                  <c:v>Yeşil Hidrojen ve Çimento Sektörü Webinar Serisi II</c:v>
                </c:pt>
                <c:pt idx="2">
                  <c:v>Düşük Karbon Yolunda Yeni Nesil Çimentolar Zirvesi</c:v>
                </c:pt>
                <c:pt idx="3">
                  <c:v>Yeşil Hidrojen ve Çimento Sektörü Webinar Serisi III</c:v>
                </c:pt>
                <c:pt idx="4">
                  <c:v>Sürdürülebilir ve Sorumlu Tedarik Zinciri Yönetimi Eğitimi (Oyak Çimento)</c:v>
                </c:pt>
                <c:pt idx="5">
                  <c:v>Yeni Mühendisler için Enerji Verimliliği Eğitimi</c:v>
                </c:pt>
                <c:pt idx="6">
                  <c:v>Sürdürülebilir Tedarik Zinciri Yönetimi Eğitimi</c:v>
                </c:pt>
                <c:pt idx="7">
                  <c:v>Çimento Sektörü Özelinde Sınırda Karbon Düzenleme Mekanizması Eğitimi</c:v>
                </c:pt>
                <c:pt idx="8">
                  <c:v>Çimento Sektöründe Atıkların Prosese, Kaliteye Etkisi ve Enerji Değişimleri Eğitimi</c:v>
                </c:pt>
                <c:pt idx="9">
                  <c:v>Fırın Sisteminde Problem Çözme ve Kök Analizi -Simulasyon Yolu ile</c:v>
                </c:pt>
              </c:strCache>
            </c:strRef>
          </c:cat>
          <c:val>
            <c:numRef>
              <c:f>Dashboard!$B$49:$B$58</c:f>
              <c:numCache>
                <c:formatCode>#,##0</c:formatCode>
                <c:ptCount val="10"/>
                <c:pt idx="0">
                  <c:v>187</c:v>
                </c:pt>
                <c:pt idx="1">
                  <c:v>138</c:v>
                </c:pt>
                <c:pt idx="2">
                  <c:v>83</c:v>
                </c:pt>
                <c:pt idx="3">
                  <c:v>82</c:v>
                </c:pt>
                <c:pt idx="4">
                  <c:v>76</c:v>
                </c:pt>
                <c:pt idx="5">
                  <c:v>40</c:v>
                </c:pt>
                <c:pt idx="6">
                  <c:v>40</c:v>
                </c:pt>
                <c:pt idx="7">
                  <c:v>37</c:v>
                </c:pt>
                <c:pt idx="8">
                  <c:v>36</c:v>
                </c:pt>
                <c:pt idx="9">
                  <c:v>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7B-40E7-9170-EDFC4FE9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max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En Yüksek Puanlı 8 Eğitim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Dashboard!$B$68</c:f>
              <c:strCache>
                <c:ptCount val="1"/>
                <c:pt idx="0">
                  <c:v>Değerlendirme Puanı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Dashboard!$A$69:$A$76</c:f>
              <c:strCache>
                <c:ptCount val="8"/>
                <c:pt idx="0">
                  <c:v>Çimento Sektöründe Atıkların Prosese, Kaliteye Etkisi ve Enerji Değişimleri Eğitimi</c:v>
                </c:pt>
                <c:pt idx="1">
                  <c:v>Yapay Zeka Kullanım Senaryosu Geliştirme Atölyesi Eğitimi (MEXT İş Birliği ile)</c:v>
                </c:pt>
                <c:pt idx="2">
                  <c:v>Genel Metroloji, Uygulamalı Kalibrasyon ve Doğrulama Eğitimi (Çimentaş için)</c:v>
                </c:pt>
                <c:pt idx="3">
                  <c:v>Kimyasal Değerlendirme Uzmanı Eğitimi ve Sınavı</c:v>
                </c:pt>
                <c:pt idx="4">
                  <c:v>Değişim Yönetimi Eğitimi</c:v>
                </c:pt>
                <c:pt idx="5">
                  <c:v>Yeni Mühendisler için Enerji Verimliliği Eğitimi II. Grup</c:v>
                </c:pt>
                <c:pt idx="6">
                  <c:v>Kaplumbağa Terbiyecisinin Sırrı (Liderlik)</c:v>
                </c:pt>
                <c:pt idx="7">
                  <c:v>Öğütme Verimliliği Eğitimi</c:v>
                </c:pt>
              </c:strCache>
            </c:strRef>
          </c:cat>
          <c:val>
            <c:numRef>
              <c:f>Dashboard!$B$69:$B$76</c:f>
              <c:numCache>
                <c:formatCode>0.00</c:formatCode>
                <c:ptCount val="8"/>
                <c:pt idx="0">
                  <c:v>4.51</c:v>
                </c:pt>
                <c:pt idx="1">
                  <c:v>4.4400000000000004</c:v>
                </c:pt>
                <c:pt idx="2">
                  <c:v>4.43</c:v>
                </c:pt>
                <c:pt idx="3">
                  <c:v>4.42</c:v>
                </c:pt>
                <c:pt idx="4">
                  <c:v>4.38</c:v>
                </c:pt>
                <c:pt idx="5">
                  <c:v>4.37</c:v>
                </c:pt>
                <c:pt idx="6">
                  <c:v>4.3099999999999996</c:v>
                </c:pt>
                <c:pt idx="7">
                  <c:v>4.29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9A-43B8-B183-07FD82CFF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  <c:max val="5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max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1"/>
        <c:axPos val="b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tr-TR"/>
              <a:t>Beklenen vs. Gerçekleşen Katılım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Dashboard!$B$86</c:f>
              <c:strCache>
                <c:ptCount val="1"/>
                <c:pt idx="0">
                  <c:v>Beklenen</c:v>
                </c:pt>
              </c:strCache>
            </c:strRef>
          </c:tx>
          <c:spPr>
            <a:solidFill>
              <a:srgbClr val="C3C2B7"/>
            </a:solidFill>
            <a:ln>
              <a:prstDash val="solid"/>
            </a:ln>
          </c:spPr>
          <c:invertIfNegative val="1"/>
          <c:cat>
            <c:strRef>
              <c:f>Dashboard!$A$87:$A$110</c:f>
              <c:strCache>
                <c:ptCount val="24"/>
                <c:pt idx="0">
                  <c:v>Sürdürülebilir Tedarik Zinciri Yönetimi Eğitimi</c:v>
                </c:pt>
                <c:pt idx="1">
                  <c:v>Yeni Mühendisler için Enerji Verimliliği Eğitimi</c:v>
                </c:pt>
                <c:pt idx="2">
                  <c:v>Çimento Sektöründe Atıkların Prosese, Kaliteye Etkisi ve Enerji Değişimleri Eğitimi</c:v>
                </c:pt>
                <c:pt idx="3">
                  <c:v>Fırın Sisteminde Problem Çözme ve Kök Analizi -Simulasyon Yolu ile</c:v>
                </c:pt>
                <c:pt idx="4">
                  <c:v>Öğütme Verimliliği Eğitimi</c:v>
                </c:pt>
                <c:pt idx="5">
                  <c:v>Çimento Sektörü Özelinde Sınırda Karbon Düzenleme Mekanizması Eğitimi</c:v>
                </c:pt>
                <c:pt idx="6">
                  <c:v>C Level Yöneticiler için Siber Güvenlik Eğitimi</c:v>
                </c:pt>
                <c:pt idx="7">
                  <c:v>Modern Satış Yönetimi ve Liderlik Eğitimi</c:v>
                </c:pt>
                <c:pt idx="8">
                  <c:v>Karbon Ayak İzi Hesaplama /  Raporlama Eğitimi</c:v>
                </c:pt>
                <c:pt idx="9">
                  <c:v>Kapsamiçi Çalışanlar için Enerji Verimliliği ve Çimento Sektörü Uygulamaları Eğitimi</c:v>
                </c:pt>
                <c:pt idx="10">
                  <c:v>Pyroprocess Eğitimi</c:v>
                </c:pt>
                <c:pt idx="11">
                  <c:v>Makinalarda Duruma Dayalı Bakım (CBM) Kararlarında</c:v>
                </c:pt>
                <c:pt idx="12">
                  <c:v>Phyton Temel Düzey Eğitimi</c:v>
                </c:pt>
                <c:pt idx="13">
                  <c:v>Değişim Yönetimi Eğitimi</c:v>
                </c:pt>
                <c:pt idx="14">
                  <c:v>Su Ayak İzi Hesaplama Eğitimi</c:v>
                </c:pt>
                <c:pt idx="15">
                  <c:v>Yazılı İletişimde Algı Yönetimi ve Raporlama Eğitimi</c:v>
                </c:pt>
                <c:pt idx="16">
                  <c:v>Uygulamalı Kömür Numune ve Analiz Eğitimi</c:v>
                </c:pt>
                <c:pt idx="17">
                  <c:v>Uygulamalı Çimento Analizleri Eğitimi I. Grup</c:v>
                </c:pt>
                <c:pt idx="18">
                  <c:v>Phyton İleri Düzey Eğitimi</c:v>
                </c:pt>
                <c:pt idx="19">
                  <c:v>Süreç Yönetimi Tabanlı Kurumsal Dönüşüm Eğitimi</c:v>
                </c:pt>
                <c:pt idx="20">
                  <c:v>Yeni Mühendisler için Enerji Verimliliği Eğitimi II. Grup</c:v>
                </c:pt>
                <c:pt idx="21">
                  <c:v>Kaplumbağa Terbiyecisinin Sırrı (Liderlik)</c:v>
                </c:pt>
                <c:pt idx="22">
                  <c:v>Kimyasal Değerlendirme Uzmanı Eğitimi ve Sınavı</c:v>
                </c:pt>
                <c:pt idx="23">
                  <c:v>Temel Seviye Hidrolik- Elektrohidrolik Eğitimi</c:v>
                </c:pt>
              </c:strCache>
            </c:strRef>
          </c:cat>
          <c:val>
            <c:numRef>
              <c:f>Dashboard!$B$87:$B$110</c:f>
              <c:numCache>
                <c:formatCode>#,##0</c:formatCode>
                <c:ptCount val="24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30</c:v>
                </c:pt>
                <c:pt idx="6">
                  <c:v>15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25</c:v>
                </c:pt>
                <c:pt idx="11">
                  <c:v>30</c:v>
                </c:pt>
                <c:pt idx="12">
                  <c:v>15</c:v>
                </c:pt>
                <c:pt idx="13">
                  <c:v>20</c:v>
                </c:pt>
                <c:pt idx="14">
                  <c:v>25</c:v>
                </c:pt>
                <c:pt idx="15">
                  <c:v>15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20</c:v>
                </c:pt>
                <c:pt idx="20">
                  <c:v>25</c:v>
                </c:pt>
                <c:pt idx="21">
                  <c:v>15</c:v>
                </c:pt>
                <c:pt idx="22">
                  <c:v>25</c:v>
                </c:pt>
                <c:pt idx="23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74-4C82-B7F6-813482079D07}"/>
            </c:ext>
          </c:extLst>
        </c:ser>
        <c:ser>
          <c:idx val="1"/>
          <c:order val="1"/>
          <c:tx>
            <c:strRef>
              <c:f>Dashboard!$C$86</c:f>
              <c:strCache>
                <c:ptCount val="1"/>
                <c:pt idx="0">
                  <c:v>Gerçekleşen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Dashboard!$A$87:$A$110</c:f>
              <c:strCache>
                <c:ptCount val="24"/>
                <c:pt idx="0">
                  <c:v>Sürdürülebilir Tedarik Zinciri Yönetimi Eğitimi</c:v>
                </c:pt>
                <c:pt idx="1">
                  <c:v>Yeni Mühendisler için Enerji Verimliliği Eğitimi</c:v>
                </c:pt>
                <c:pt idx="2">
                  <c:v>Çimento Sektöründe Atıkların Prosese, Kaliteye Etkisi ve Enerji Değişimleri Eğitimi</c:v>
                </c:pt>
                <c:pt idx="3">
                  <c:v>Fırın Sisteminde Problem Çözme ve Kök Analizi -Simulasyon Yolu ile</c:v>
                </c:pt>
                <c:pt idx="4">
                  <c:v>Öğütme Verimliliği Eğitimi</c:v>
                </c:pt>
                <c:pt idx="5">
                  <c:v>Çimento Sektörü Özelinde Sınırda Karbon Düzenleme Mekanizması Eğitimi</c:v>
                </c:pt>
                <c:pt idx="6">
                  <c:v>C Level Yöneticiler için Siber Güvenlik Eğitimi</c:v>
                </c:pt>
                <c:pt idx="7">
                  <c:v>Modern Satış Yönetimi ve Liderlik Eğitimi</c:v>
                </c:pt>
                <c:pt idx="8">
                  <c:v>Karbon Ayak İzi Hesaplama /  Raporlama Eğitimi</c:v>
                </c:pt>
                <c:pt idx="9">
                  <c:v>Kapsamiçi Çalışanlar için Enerji Verimliliği ve Çimento Sektörü Uygulamaları Eğitimi</c:v>
                </c:pt>
                <c:pt idx="10">
                  <c:v>Pyroprocess Eğitimi</c:v>
                </c:pt>
                <c:pt idx="11">
                  <c:v>Makinalarda Duruma Dayalı Bakım (CBM) Kararlarında</c:v>
                </c:pt>
                <c:pt idx="12">
                  <c:v>Phyton Temel Düzey Eğitimi</c:v>
                </c:pt>
                <c:pt idx="13">
                  <c:v>Değişim Yönetimi Eğitimi</c:v>
                </c:pt>
                <c:pt idx="14">
                  <c:v>Su Ayak İzi Hesaplama Eğitimi</c:v>
                </c:pt>
                <c:pt idx="15">
                  <c:v>Yazılı İletişimde Algı Yönetimi ve Raporlama Eğitimi</c:v>
                </c:pt>
                <c:pt idx="16">
                  <c:v>Uygulamalı Kömür Numune ve Analiz Eğitimi</c:v>
                </c:pt>
                <c:pt idx="17">
                  <c:v>Uygulamalı Çimento Analizleri Eğitimi I. Grup</c:v>
                </c:pt>
                <c:pt idx="18">
                  <c:v>Phyton İleri Düzey Eğitimi</c:v>
                </c:pt>
                <c:pt idx="19">
                  <c:v>Süreç Yönetimi Tabanlı Kurumsal Dönüşüm Eğitimi</c:v>
                </c:pt>
                <c:pt idx="20">
                  <c:v>Yeni Mühendisler için Enerji Verimliliği Eğitimi II. Grup</c:v>
                </c:pt>
                <c:pt idx="21">
                  <c:v>Kaplumbağa Terbiyecisinin Sırrı (Liderlik)</c:v>
                </c:pt>
                <c:pt idx="22">
                  <c:v>Kimyasal Değerlendirme Uzmanı Eğitimi ve Sınavı</c:v>
                </c:pt>
                <c:pt idx="23">
                  <c:v>Temel Seviye Hidrolik- Elektrohidrolik Eğitimi</c:v>
                </c:pt>
              </c:strCache>
            </c:strRef>
          </c:cat>
          <c:val>
            <c:numRef>
              <c:f>Dashboard!$C$87:$C$110</c:f>
              <c:numCache>
                <c:formatCode>#,##0</c:formatCode>
                <c:ptCount val="24"/>
                <c:pt idx="0">
                  <c:v>40</c:v>
                </c:pt>
                <c:pt idx="1">
                  <c:v>40</c:v>
                </c:pt>
                <c:pt idx="2">
                  <c:v>36</c:v>
                </c:pt>
                <c:pt idx="3">
                  <c:v>36</c:v>
                </c:pt>
                <c:pt idx="4">
                  <c:v>32</c:v>
                </c:pt>
                <c:pt idx="5">
                  <c:v>37</c:v>
                </c:pt>
                <c:pt idx="6">
                  <c:v>18</c:v>
                </c:pt>
                <c:pt idx="7">
                  <c:v>17</c:v>
                </c:pt>
                <c:pt idx="8">
                  <c:v>22</c:v>
                </c:pt>
                <c:pt idx="9">
                  <c:v>26</c:v>
                </c:pt>
                <c:pt idx="10">
                  <c:v>26</c:v>
                </c:pt>
                <c:pt idx="11">
                  <c:v>29</c:v>
                </c:pt>
                <c:pt idx="12">
                  <c:v>13</c:v>
                </c:pt>
                <c:pt idx="13">
                  <c:v>17</c:v>
                </c:pt>
                <c:pt idx="14">
                  <c:v>21</c:v>
                </c:pt>
                <c:pt idx="15">
                  <c:v>12</c:v>
                </c:pt>
                <c:pt idx="16">
                  <c:v>7</c:v>
                </c:pt>
                <c:pt idx="17">
                  <c:v>7</c:v>
                </c:pt>
                <c:pt idx="18">
                  <c:v>10</c:v>
                </c:pt>
                <c:pt idx="19">
                  <c:v>13</c:v>
                </c:pt>
                <c:pt idx="20">
                  <c:v>16</c:v>
                </c:pt>
                <c:pt idx="21">
                  <c:v>9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74-4C82-B7F6-81348207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max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1"/>
        <c:axPos val="b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8</xdr:row>
      <xdr:rowOff>0</xdr:rowOff>
    </xdr:from>
    <xdr:ext cx="32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8</xdr:row>
      <xdr:rowOff>0</xdr:rowOff>
    </xdr:from>
    <xdr:ext cx="324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27</xdr:row>
      <xdr:rowOff>0</xdr:rowOff>
    </xdr:from>
    <xdr:ext cx="324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17</xdr:col>
      <xdr:colOff>0</xdr:colOff>
      <xdr:row>27</xdr:row>
      <xdr:rowOff>0</xdr:rowOff>
    </xdr:from>
    <xdr:ext cx="324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46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0</xdr:colOff>
      <xdr:row>66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84</xdr:row>
      <xdr:rowOff>0</xdr:rowOff>
    </xdr:from>
    <xdr:ext cx="5760000" cy="72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gitimVerisi" displayName="EgitimVerisi" ref="A1:M47">
  <autoFilter ref="A1:M47" xr:uid="{00000000-0009-0000-0100-000001000000}"/>
  <tableColumns count="13">
    <tableColumn id="1" xr3:uid="{00000000-0010-0000-0000-000001000000}" name="Durum"/>
    <tableColumn id="2" xr3:uid="{00000000-0010-0000-0000-000002000000}" name="Eğitim Adı"/>
    <tableColumn id="3" xr3:uid="{00000000-0010-0000-0000-000003000000}" name="Gün Sayısı"/>
    <tableColumn id="4" xr3:uid="{00000000-0010-0000-0000-000004000000}" name="Tarih"/>
    <tableColumn id="5" xr3:uid="{00000000-0010-0000-0000-000005000000}" name="Ay"/>
    <tableColumn id="6" xr3:uid="{00000000-0010-0000-0000-000006000000}" name="Eğitim Tipi"/>
    <tableColumn id="7" xr3:uid="{00000000-0010-0000-0000-000007000000}" name="Değerlendirme Puanı"/>
    <tableColumn id="8" xr3:uid="{00000000-0010-0000-0000-000008000000}" name="Ankete Katılan"/>
    <tableColumn id="9" xr3:uid="{00000000-0010-0000-0000-000009000000}" name="Beklenen Kişi Sayısı"/>
    <tableColumn id="10" xr3:uid="{00000000-0010-0000-0000-00000A000000}" name="Katılan Kişi Sayısı"/>
    <tableColumn id="11" xr3:uid="{00000000-0010-0000-0000-00000B000000}" name="Sertifika Sayısı"/>
    <tableColumn id="12" xr3:uid="{00000000-0010-0000-0000-00000C000000}" name="Katılım Sırası"/>
    <tableColumn id="13" xr3:uid="{00000000-0010-0000-0000-00000D000000}" name="Puan Sırası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showGridLines="0" tabSelected="1" workbookViewId="0">
      <selection sqref="A1:M1"/>
    </sheetView>
  </sheetViews>
  <sheetFormatPr defaultRowHeight="15" x14ac:dyDescent="0.25"/>
  <cols>
    <col min="1" max="1" width="42" customWidth="1"/>
    <col min="2" max="2" width="8" customWidth="1"/>
    <col min="3" max="13" width="13" customWidth="1"/>
  </cols>
  <sheetData>
    <row r="1" spans="1:13" ht="27.95" customHeight="1" x14ac:dyDescent="0.4">
      <c r="A1" s="16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95" customHeight="1" x14ac:dyDescent="0.25">
      <c r="A2" s="18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x14ac:dyDescent="0.25">
      <c r="A4" s="15" t="s">
        <v>2</v>
      </c>
      <c r="B4" s="10"/>
      <c r="C4" s="15" t="s">
        <v>3</v>
      </c>
      <c r="D4" s="10"/>
      <c r="E4" s="15" t="s">
        <v>4</v>
      </c>
      <c r="F4" s="10"/>
      <c r="G4" s="15" t="s">
        <v>5</v>
      </c>
      <c r="H4" s="10"/>
      <c r="I4" s="15" t="s">
        <v>6</v>
      </c>
      <c r="J4" s="10"/>
      <c r="K4" s="15" t="s">
        <v>7</v>
      </c>
      <c r="L4" s="10"/>
    </row>
    <row r="5" spans="1:13" ht="26.1" customHeight="1" x14ac:dyDescent="0.4">
      <c r="A5" s="13">
        <f>COUNTA(Veri!$B$2:$B$47)</f>
        <v>46</v>
      </c>
      <c r="B5" s="10"/>
      <c r="C5" s="13">
        <f>COUNTIF(Veri!$A$2:$A$47,"YENİ")</f>
        <v>22</v>
      </c>
      <c r="D5" s="10"/>
      <c r="E5" s="14">
        <f>SUM(Veri!$J$2:$J$47)</f>
        <v>1218</v>
      </c>
      <c r="F5" s="10"/>
      <c r="G5" s="14">
        <f>SUM(Veri!$K$2:$K$47)</f>
        <v>1218</v>
      </c>
      <c r="H5" s="10"/>
      <c r="I5" s="17">
        <f>AVERAGE(Veri!$G$2:$G$47)</f>
        <v>4.0190322580645157</v>
      </c>
      <c r="J5" s="10"/>
      <c r="K5" s="14">
        <f>SUM(Veri!$C$2:$C$47)</f>
        <v>93</v>
      </c>
      <c r="L5" s="10"/>
    </row>
    <row r="6" spans="1:13" x14ac:dyDescent="0.25">
      <c r="A6" s="9" t="str">
        <f>COUNTIF(Veri!$A$2:$A$47,"PLANLI")&amp;" planlı, "&amp;COUNTIF(Veri!$A$2:$A$47,"YENİ")&amp;" yeni"</f>
        <v>24 planlı, 22 yeni</v>
      </c>
      <c r="B6" s="10"/>
      <c r="C6" s="9" t="str">
        <f>TEXT(COUNTIF(Veri!$A$2:$A$47,"YENİ")/COUNTA(Veri!$B$2:$B$47),"0%")&amp;" toplam içinde"</f>
        <v>48% toplam içinde</v>
      </c>
      <c r="D6" s="10"/>
      <c r="E6" s="9" t="str">
        <f>TEXT(SUM(Veri!$J$2:$J$47)/COUNTA(Veri!$B$2:$B$47),"0")&amp;" ort. / eğitim"</f>
        <v>26 ort. / eğitim</v>
      </c>
      <c r="F6" s="10"/>
      <c r="G6" s="9" t="s">
        <v>8</v>
      </c>
      <c r="H6" s="10"/>
      <c r="I6" s="9" t="str">
        <f>COUNT(Veri!$G$2:$G$47)&amp;" eğitimde anket verisi var"</f>
        <v>31 eğitimde anket verisi var</v>
      </c>
      <c r="J6" s="10"/>
      <c r="K6" s="9" t="str">
        <f>"Eğitim başına ort. "&amp;TEXT(SUM(Veri!$C$2:$C$47)/COUNTA(Veri!$B$2:$B$47),"0")&amp;" gün"</f>
        <v>Eğitim başına ort. 2 gün</v>
      </c>
      <c r="L6" s="10"/>
    </row>
    <row r="8" spans="1:13" ht="21.95" customHeight="1" x14ac:dyDescent="0.25">
      <c r="A8" s="11" t="s">
        <v>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10" spans="1:13" x14ac:dyDescent="0.25">
      <c r="A10" s="1" t="s">
        <v>10</v>
      </c>
      <c r="B10" s="1" t="s">
        <v>11</v>
      </c>
      <c r="C10" s="1" t="s">
        <v>12</v>
      </c>
      <c r="D10" s="1" t="s">
        <v>13</v>
      </c>
    </row>
    <row r="11" spans="1:13" x14ac:dyDescent="0.25">
      <c r="A11" s="2" t="s">
        <v>14</v>
      </c>
      <c r="B11" s="3">
        <v>1</v>
      </c>
      <c r="C11" s="3">
        <f>COUNTIFS(Veri!$E$2:$E$47,$B11)</f>
        <v>4</v>
      </c>
      <c r="D11" s="3">
        <f>SUMIFS(Veri!$J$2:$J$47,Veri!$E$2:$E$47,$B11)</f>
        <v>100</v>
      </c>
    </row>
    <row r="12" spans="1:13" x14ac:dyDescent="0.25">
      <c r="A12" s="2" t="s">
        <v>15</v>
      </c>
      <c r="B12" s="3">
        <v>2</v>
      </c>
      <c r="C12" s="3">
        <f>COUNTIFS(Veri!$E$2:$E$47,$B12)</f>
        <v>5</v>
      </c>
      <c r="D12" s="3">
        <f>SUMIFS(Veri!$J$2:$J$47,Veri!$E$2:$E$47,$B12)</f>
        <v>90</v>
      </c>
    </row>
    <row r="13" spans="1:13" x14ac:dyDescent="0.25">
      <c r="A13" s="2" t="s">
        <v>16</v>
      </c>
      <c r="B13" s="3">
        <v>3</v>
      </c>
      <c r="C13" s="3">
        <f>COUNTIFS(Veri!$E$2:$E$47,$B13)</f>
        <v>4</v>
      </c>
      <c r="D13" s="3">
        <f>SUMIFS(Veri!$J$2:$J$47,Veri!$E$2:$E$47,$B13)</f>
        <v>230</v>
      </c>
    </row>
    <row r="14" spans="1:13" x14ac:dyDescent="0.25">
      <c r="A14" s="2" t="s">
        <v>17</v>
      </c>
      <c r="B14" s="3">
        <v>4</v>
      </c>
      <c r="C14" s="3">
        <f>COUNTIFS(Veri!$E$2:$E$47,$B14)</f>
        <v>12</v>
      </c>
      <c r="D14" s="3">
        <f>SUMIFS(Veri!$J$2:$J$47,Veri!$E$2:$E$47,$B14)</f>
        <v>430</v>
      </c>
    </row>
    <row r="15" spans="1:13" x14ac:dyDescent="0.25">
      <c r="A15" s="2" t="s">
        <v>18</v>
      </c>
      <c r="B15" s="3">
        <v>5</v>
      </c>
      <c r="C15" s="3">
        <f>COUNTIFS(Veri!$E$2:$E$47,$B15)</f>
        <v>11</v>
      </c>
      <c r="D15" s="3">
        <f>SUMIFS(Veri!$J$2:$J$47,Veri!$E$2:$E$47,$B15)</f>
        <v>234</v>
      </c>
    </row>
    <row r="16" spans="1:13" x14ac:dyDescent="0.25">
      <c r="A16" s="2" t="s">
        <v>19</v>
      </c>
      <c r="B16" s="3">
        <v>6</v>
      </c>
      <c r="C16" s="3">
        <f>COUNTIFS(Veri!$E$2:$E$47,$B16)</f>
        <v>7</v>
      </c>
      <c r="D16" s="3">
        <f>SUMIFS(Veri!$J$2:$J$47,Veri!$E$2:$E$47,$B16)</f>
        <v>51</v>
      </c>
    </row>
    <row r="17" spans="1:13" x14ac:dyDescent="0.25">
      <c r="A17" s="2" t="s">
        <v>20</v>
      </c>
      <c r="B17" s="3">
        <v>7</v>
      </c>
      <c r="C17" s="3">
        <f>COUNTIFS(Veri!$E$2:$E$47,$B17)</f>
        <v>3</v>
      </c>
      <c r="D17" s="3">
        <f>SUMIFS(Veri!$J$2:$J$47,Veri!$E$2:$E$47,$B17)</f>
        <v>83</v>
      </c>
    </row>
    <row r="27" spans="1:13" ht="21.95" customHeight="1" x14ac:dyDescent="0.25">
      <c r="A27" s="11" t="s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9" spans="1:13" x14ac:dyDescent="0.25">
      <c r="A29" s="1" t="s">
        <v>22</v>
      </c>
      <c r="B29" s="1" t="s">
        <v>12</v>
      </c>
      <c r="C29" s="1" t="s">
        <v>13</v>
      </c>
      <c r="F29" s="1" t="s">
        <v>23</v>
      </c>
      <c r="G29" s="1" t="s">
        <v>12</v>
      </c>
      <c r="H29" s="1" t="s">
        <v>13</v>
      </c>
    </row>
    <row r="30" spans="1:13" x14ac:dyDescent="0.25">
      <c r="A30" s="2" t="s">
        <v>24</v>
      </c>
      <c r="B30" s="3">
        <f>COUNTIF(Veri!$F$2:$F$47,$A30)</f>
        <v>14</v>
      </c>
      <c r="C30" s="3">
        <f>SUMIF(Veri!$F$2:$F$47,$A30,Veri!$J$2:$J$47)</f>
        <v>733</v>
      </c>
      <c r="F30" s="2" t="s">
        <v>25</v>
      </c>
      <c r="G30" s="3">
        <f>COUNTIF(Veri!$A$2:$A$47,$F30)</f>
        <v>24</v>
      </c>
      <c r="H30" s="3">
        <f>SUMIF(Veri!$A$2:$A$47,$F30,Veri!$J$2:$J$47)</f>
        <v>500</v>
      </c>
    </row>
    <row r="31" spans="1:13" x14ac:dyDescent="0.25">
      <c r="A31" s="2" t="s">
        <v>26</v>
      </c>
      <c r="B31" s="3">
        <f>COUNTIF(Veri!$F$2:$F$47,$A31)</f>
        <v>32</v>
      </c>
      <c r="C31" s="3">
        <f>SUMIF(Veri!$F$2:$F$47,$A31,Veri!$J$2:$J$47)</f>
        <v>485</v>
      </c>
      <c r="F31" s="2" t="s">
        <v>27</v>
      </c>
      <c r="G31" s="3">
        <f>COUNTIF(Veri!$A$2:$A$47,$F31)</f>
        <v>22</v>
      </c>
      <c r="H31" s="3">
        <f>SUMIF(Veri!$A$2:$A$47,$F31,Veri!$J$2:$J$47)</f>
        <v>718</v>
      </c>
    </row>
    <row r="46" spans="1:13" ht="21.95" customHeight="1" x14ac:dyDescent="0.25">
      <c r="A46" s="11" t="s">
        <v>28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8" spans="1:13" x14ac:dyDescent="0.25">
      <c r="A48" s="1" t="s">
        <v>29</v>
      </c>
      <c r="B48" s="1" t="s">
        <v>30</v>
      </c>
    </row>
    <row r="49" spans="1:2" x14ac:dyDescent="0.25">
      <c r="A49" s="2" t="str">
        <f>INDEX(Veri!$B$2:$B$47,MATCH(1,Veri!$L$2:$L$47,0))</f>
        <v>Yeşil Hidrojen ve Çimento Sektörü Webinar Serisi I</v>
      </c>
      <c r="B49" s="3">
        <f>INDEX(Veri!$J$2:$J$47,MATCH(1,Veri!$L$2:$L$47,0))</f>
        <v>187</v>
      </c>
    </row>
    <row r="50" spans="1:2" x14ac:dyDescent="0.25">
      <c r="A50" s="2" t="str">
        <f>INDEX(Veri!$B$2:$B$47,MATCH(2,Veri!$L$2:$L$47,0))</f>
        <v>Yeşil Hidrojen ve Çimento Sektörü Webinar Serisi II</v>
      </c>
      <c r="B50" s="3">
        <f>INDEX(Veri!$J$2:$J$47,MATCH(2,Veri!$L$2:$L$47,0))</f>
        <v>138</v>
      </c>
    </row>
    <row r="51" spans="1:2" x14ac:dyDescent="0.25">
      <c r="A51" s="2" t="str">
        <f>INDEX(Veri!$B$2:$B$47,MATCH(3,Veri!$L$2:$L$47,0))</f>
        <v>Düşük Karbon Yolunda Yeni Nesil Çimentolar Zirvesi</v>
      </c>
      <c r="B51" s="3">
        <f>INDEX(Veri!$J$2:$J$47,MATCH(3,Veri!$L$2:$L$47,0))</f>
        <v>83</v>
      </c>
    </row>
    <row r="52" spans="1:2" x14ac:dyDescent="0.25">
      <c r="A52" s="2" t="str">
        <f>INDEX(Veri!$B$2:$B$47,MATCH(4,Veri!$L$2:$L$47,0))</f>
        <v>Yeşil Hidrojen ve Çimento Sektörü Webinar Serisi III</v>
      </c>
      <c r="B52" s="3">
        <f>INDEX(Veri!$J$2:$J$47,MATCH(4,Veri!$L$2:$L$47,0))</f>
        <v>82</v>
      </c>
    </row>
    <row r="53" spans="1:2" x14ac:dyDescent="0.25">
      <c r="A53" s="2" t="str">
        <f>INDEX(Veri!$B$2:$B$47,MATCH(5,Veri!$L$2:$L$47,0))</f>
        <v>Sürdürülebilir ve Sorumlu Tedarik Zinciri Yönetimi Eğitimi (Oyak Çimento)</v>
      </c>
      <c r="B53" s="3">
        <f>INDEX(Veri!$J$2:$J$47,MATCH(5,Veri!$L$2:$L$47,0))</f>
        <v>76</v>
      </c>
    </row>
    <row r="54" spans="1:2" x14ac:dyDescent="0.25">
      <c r="A54" s="2" t="str">
        <f>INDEX(Veri!$B$2:$B$47,MATCH(6,Veri!$L$2:$L$47,0))</f>
        <v>Yeni Mühendisler için Enerji Verimliliği Eğitimi</v>
      </c>
      <c r="B54" s="3">
        <f>INDEX(Veri!$J$2:$J$47,MATCH(6,Veri!$L$2:$L$47,0))</f>
        <v>40</v>
      </c>
    </row>
    <row r="55" spans="1:2" x14ac:dyDescent="0.25">
      <c r="A55" s="2" t="str">
        <f>INDEX(Veri!$B$2:$B$47,MATCH(7,Veri!$L$2:$L$47,0))</f>
        <v>Sürdürülebilir Tedarik Zinciri Yönetimi Eğitimi</v>
      </c>
      <c r="B55" s="3">
        <f>INDEX(Veri!$J$2:$J$47,MATCH(7,Veri!$L$2:$L$47,0))</f>
        <v>40</v>
      </c>
    </row>
    <row r="56" spans="1:2" x14ac:dyDescent="0.25">
      <c r="A56" s="2" t="str">
        <f>INDEX(Veri!$B$2:$B$47,MATCH(8,Veri!$L$2:$L$47,0))</f>
        <v>Çimento Sektörü Özelinde Sınırda Karbon Düzenleme Mekanizması Eğitimi</v>
      </c>
      <c r="B56" s="3">
        <f>INDEX(Veri!$J$2:$J$47,MATCH(8,Veri!$L$2:$L$47,0))</f>
        <v>37</v>
      </c>
    </row>
    <row r="57" spans="1:2" x14ac:dyDescent="0.25">
      <c r="A57" s="2" t="str">
        <f>INDEX(Veri!$B$2:$B$47,MATCH(9,Veri!$L$2:$L$47,0))</f>
        <v>Çimento Sektöründe Atıkların Prosese, Kaliteye Etkisi ve Enerji Değişimleri Eğitimi</v>
      </c>
      <c r="B57" s="3">
        <f>INDEX(Veri!$J$2:$J$47,MATCH(9,Veri!$L$2:$L$47,0))</f>
        <v>36</v>
      </c>
    </row>
    <row r="58" spans="1:2" x14ac:dyDescent="0.25">
      <c r="A58" s="2" t="str">
        <f>INDEX(Veri!$B$2:$B$47,MATCH(10,Veri!$L$2:$L$47,0))</f>
        <v>Fırın Sisteminde Problem Çözme ve Kök Analizi -Simulasyon Yolu ile</v>
      </c>
      <c r="B58" s="3">
        <f>INDEX(Veri!$J$2:$J$47,MATCH(10,Veri!$L$2:$L$47,0))</f>
        <v>36</v>
      </c>
    </row>
    <row r="66" spans="1:13" ht="21.95" customHeight="1" x14ac:dyDescent="0.25">
      <c r="A66" s="11" t="s">
        <v>31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8" spans="1:13" x14ac:dyDescent="0.25">
      <c r="A68" s="1" t="s">
        <v>29</v>
      </c>
      <c r="B68" s="1" t="s">
        <v>32</v>
      </c>
    </row>
    <row r="69" spans="1:13" x14ac:dyDescent="0.25">
      <c r="A69" s="2" t="str">
        <f>INDEX(Veri!$B$2:$B$47,MATCH(1,Veri!$M$2:$M$47,0))</f>
        <v>Çimento Sektöründe Atıkların Prosese, Kaliteye Etkisi ve Enerji Değişimleri Eğitimi</v>
      </c>
      <c r="B69" s="4">
        <f>INDEX(Veri!$G$2:$G$47,MATCH(1,Veri!$M$2:$M$47,0))</f>
        <v>4.51</v>
      </c>
    </row>
    <row r="70" spans="1:13" x14ac:dyDescent="0.25">
      <c r="A70" s="2" t="str">
        <f>INDEX(Veri!$B$2:$B$47,MATCH(2,Veri!$M$2:$M$47,0))</f>
        <v>Yapay Zeka Kullanım Senaryosu Geliştirme Atölyesi Eğitimi (MEXT İş Birliği ile)</v>
      </c>
      <c r="B70" s="4">
        <f>INDEX(Veri!$G$2:$G$47,MATCH(2,Veri!$M$2:$M$47,0))</f>
        <v>4.4400000000000004</v>
      </c>
    </row>
    <row r="71" spans="1:13" x14ac:dyDescent="0.25">
      <c r="A71" s="2" t="str">
        <f>INDEX(Veri!$B$2:$B$47,MATCH(3,Veri!$M$2:$M$47,0))</f>
        <v>Genel Metroloji, Uygulamalı Kalibrasyon ve Doğrulama Eğitimi (Çimentaş için)</v>
      </c>
      <c r="B71" s="4">
        <f>INDEX(Veri!$G$2:$G$47,MATCH(3,Veri!$M$2:$M$47,0))</f>
        <v>4.43</v>
      </c>
    </row>
    <row r="72" spans="1:13" x14ac:dyDescent="0.25">
      <c r="A72" s="2" t="str">
        <f>INDEX(Veri!$B$2:$B$47,MATCH(4,Veri!$M$2:$M$47,0))</f>
        <v>Kimyasal Değerlendirme Uzmanı Eğitimi ve Sınavı</v>
      </c>
      <c r="B72" s="4">
        <f>INDEX(Veri!$G$2:$G$47,MATCH(4,Veri!$M$2:$M$47,0))</f>
        <v>4.42</v>
      </c>
    </row>
    <row r="73" spans="1:13" x14ac:dyDescent="0.25">
      <c r="A73" s="2" t="str">
        <f>INDEX(Veri!$B$2:$B$47,MATCH(5,Veri!$M$2:$M$47,0))</f>
        <v>Değişim Yönetimi Eğitimi</v>
      </c>
      <c r="B73" s="4">
        <f>INDEX(Veri!$G$2:$G$47,MATCH(5,Veri!$M$2:$M$47,0))</f>
        <v>4.38</v>
      </c>
    </row>
    <row r="74" spans="1:13" x14ac:dyDescent="0.25">
      <c r="A74" s="2" t="str">
        <f>INDEX(Veri!$B$2:$B$47,MATCH(6,Veri!$M$2:$M$47,0))</f>
        <v>Yeni Mühendisler için Enerji Verimliliği Eğitimi II. Grup</v>
      </c>
      <c r="B74" s="4">
        <f>INDEX(Veri!$G$2:$G$47,MATCH(6,Veri!$M$2:$M$47,0))</f>
        <v>4.37</v>
      </c>
    </row>
    <row r="75" spans="1:13" x14ac:dyDescent="0.25">
      <c r="A75" s="2" t="str">
        <f>INDEX(Veri!$B$2:$B$47,MATCH(7,Veri!$M$2:$M$47,0))</f>
        <v>Kaplumbağa Terbiyecisinin Sırrı (Liderlik)</v>
      </c>
      <c r="B75" s="4">
        <f>INDEX(Veri!$G$2:$G$47,MATCH(7,Veri!$M$2:$M$47,0))</f>
        <v>4.3099999999999996</v>
      </c>
    </row>
    <row r="76" spans="1:13" x14ac:dyDescent="0.25">
      <c r="A76" s="2" t="str">
        <f>INDEX(Veri!$B$2:$B$47,MATCH(8,Veri!$M$2:$M$47,0))</f>
        <v>Öğütme Verimliliği Eğitimi</v>
      </c>
      <c r="B76" s="4">
        <f>INDEX(Veri!$G$2:$G$47,MATCH(8,Veri!$M$2:$M$47,0))</f>
        <v>4.29</v>
      </c>
    </row>
    <row r="84" spans="1:13" ht="21.95" customHeight="1" x14ac:dyDescent="0.25">
      <c r="A84" s="11" t="s">
        <v>33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6" spans="1:13" x14ac:dyDescent="0.25">
      <c r="A86" s="1" t="s">
        <v>29</v>
      </c>
      <c r="B86" s="1" t="s">
        <v>34</v>
      </c>
      <c r="C86" s="1" t="s">
        <v>35</v>
      </c>
      <c r="D86" s="1" t="s">
        <v>36</v>
      </c>
    </row>
    <row r="87" spans="1:13" x14ac:dyDescent="0.25">
      <c r="A87" s="2" t="str">
        <f>Veri!$B$30</f>
        <v>Sürdürülebilir Tedarik Zinciri Yönetimi Eğitimi</v>
      </c>
      <c r="B87" s="3">
        <f>Veri!$I$30</f>
        <v>20</v>
      </c>
      <c r="C87" s="3">
        <f>Veri!$J$30</f>
        <v>40</v>
      </c>
      <c r="D87" s="3">
        <f t="shared" ref="D87:D110" si="0">C87-B87</f>
        <v>20</v>
      </c>
    </row>
    <row r="88" spans="1:13" x14ac:dyDescent="0.25">
      <c r="A88" s="2" t="str">
        <f>Veri!$B$2</f>
        <v>Yeni Mühendisler için Enerji Verimliliği Eğitimi</v>
      </c>
      <c r="B88" s="3">
        <f>Veri!$I$2</f>
        <v>25</v>
      </c>
      <c r="C88" s="3">
        <f>Veri!$J$2</f>
        <v>40</v>
      </c>
      <c r="D88" s="3">
        <f t="shared" si="0"/>
        <v>15</v>
      </c>
    </row>
    <row r="89" spans="1:13" x14ac:dyDescent="0.25">
      <c r="A89" s="2" t="str">
        <f>Veri!$B$6</f>
        <v>Çimento Sektöründe Atıkların Prosese, Kaliteye Etkisi ve Enerji Değişimleri Eğitimi</v>
      </c>
      <c r="B89" s="3">
        <f>Veri!$I$6</f>
        <v>25</v>
      </c>
      <c r="C89" s="3">
        <f>Veri!$J$6</f>
        <v>36</v>
      </c>
      <c r="D89" s="3">
        <f t="shared" si="0"/>
        <v>11</v>
      </c>
    </row>
    <row r="90" spans="1:13" x14ac:dyDescent="0.25">
      <c r="A90" s="2" t="str">
        <f>Veri!$B$34</f>
        <v>Fırın Sisteminde Problem Çözme ve Kök Analizi -Simulasyon Yolu ile</v>
      </c>
      <c r="B90" s="3">
        <f>Veri!$I$34</f>
        <v>25</v>
      </c>
      <c r="C90" s="3">
        <f>Veri!$J$34</f>
        <v>36</v>
      </c>
      <c r="D90" s="3">
        <f t="shared" si="0"/>
        <v>11</v>
      </c>
    </row>
    <row r="91" spans="1:13" x14ac:dyDescent="0.25">
      <c r="A91" s="2" t="str">
        <f>Veri!$B$18</f>
        <v>Öğütme Verimliliği Eğitimi</v>
      </c>
      <c r="B91" s="3">
        <f>Veri!$I$18</f>
        <v>25</v>
      </c>
      <c r="C91" s="3">
        <f>Veri!$J$18</f>
        <v>32</v>
      </c>
      <c r="D91" s="3">
        <f t="shared" si="0"/>
        <v>7</v>
      </c>
    </row>
    <row r="92" spans="1:13" x14ac:dyDescent="0.25">
      <c r="A92" s="2" t="str">
        <f>Veri!$B$22</f>
        <v>Çimento Sektörü Özelinde Sınırda Karbon Düzenleme Mekanizması Eğitimi</v>
      </c>
      <c r="B92" s="3">
        <f>Veri!$I$22</f>
        <v>30</v>
      </c>
      <c r="C92" s="3">
        <f>Veri!$J$22</f>
        <v>37</v>
      </c>
      <c r="D92" s="3">
        <f t="shared" si="0"/>
        <v>7</v>
      </c>
    </row>
    <row r="93" spans="1:13" x14ac:dyDescent="0.25">
      <c r="A93" s="2" t="str">
        <f>Veri!$B$4</f>
        <v>C Level Yöneticiler için Siber Güvenlik Eğitimi</v>
      </c>
      <c r="B93" s="3">
        <f>Veri!$I$4</f>
        <v>15</v>
      </c>
      <c r="C93" s="3">
        <f>Veri!$J$4</f>
        <v>18</v>
      </c>
      <c r="D93" s="3">
        <f t="shared" si="0"/>
        <v>3</v>
      </c>
    </row>
    <row r="94" spans="1:13" x14ac:dyDescent="0.25">
      <c r="A94" s="2" t="str">
        <f>Veri!$B$8</f>
        <v>Modern Satış Yönetimi ve Liderlik Eğitimi</v>
      </c>
      <c r="B94" s="3">
        <f>Veri!$I$8</f>
        <v>15</v>
      </c>
      <c r="C94" s="3">
        <f>Veri!$J$8</f>
        <v>17</v>
      </c>
      <c r="D94" s="3">
        <f t="shared" si="0"/>
        <v>2</v>
      </c>
    </row>
    <row r="95" spans="1:13" x14ac:dyDescent="0.25">
      <c r="A95" s="2" t="str">
        <f>Veri!$B$16</f>
        <v>Karbon Ayak İzi Hesaplama /  Raporlama Eğitimi</v>
      </c>
      <c r="B95" s="3">
        <f>Veri!$I$16</f>
        <v>20</v>
      </c>
      <c r="C95" s="3">
        <f>Veri!$J$16</f>
        <v>22</v>
      </c>
      <c r="D95" s="3">
        <f t="shared" si="0"/>
        <v>2</v>
      </c>
    </row>
    <row r="96" spans="1:13" x14ac:dyDescent="0.25">
      <c r="A96" s="2" t="str">
        <f>Veri!$B$3</f>
        <v>Kapsamiçi Çalışanlar için Enerji Verimliliği ve Çimento Sektörü Uygulamaları Eğitimi</v>
      </c>
      <c r="B96" s="3">
        <f>Veri!$I$3</f>
        <v>25</v>
      </c>
      <c r="C96" s="3">
        <f>Veri!$J$3</f>
        <v>26</v>
      </c>
      <c r="D96" s="3">
        <f t="shared" si="0"/>
        <v>1</v>
      </c>
    </row>
    <row r="97" spans="1:4" x14ac:dyDescent="0.25">
      <c r="A97" s="2" t="str">
        <f>Veri!$B$24</f>
        <v>Pyroprocess Eğitimi</v>
      </c>
      <c r="B97" s="3">
        <f>Veri!$I$24</f>
        <v>25</v>
      </c>
      <c r="C97" s="3">
        <f>Veri!$J$24</f>
        <v>26</v>
      </c>
      <c r="D97" s="3">
        <f t="shared" si="0"/>
        <v>1</v>
      </c>
    </row>
    <row r="98" spans="1:4" x14ac:dyDescent="0.25">
      <c r="A98" s="2" t="str">
        <f>Veri!$B$21</f>
        <v>Makinalarda Duruma Dayalı Bakım (CBM) Kararlarında</v>
      </c>
      <c r="B98" s="3">
        <f>Veri!$I$21</f>
        <v>30</v>
      </c>
      <c r="C98" s="3">
        <f>Veri!$J$21</f>
        <v>29</v>
      </c>
      <c r="D98" s="3">
        <f t="shared" si="0"/>
        <v>-1</v>
      </c>
    </row>
    <row r="99" spans="1:4" x14ac:dyDescent="0.25">
      <c r="A99" s="2" t="str">
        <f>Veri!$B$9</f>
        <v>Phyton Temel Düzey Eğitimi</v>
      </c>
      <c r="B99" s="3">
        <f>Veri!$I$9</f>
        <v>15</v>
      </c>
      <c r="C99" s="3">
        <f>Veri!$J$9</f>
        <v>13</v>
      </c>
      <c r="D99" s="3">
        <f t="shared" si="0"/>
        <v>-2</v>
      </c>
    </row>
    <row r="100" spans="1:4" x14ac:dyDescent="0.25">
      <c r="A100" s="2" t="str">
        <f>Veri!$B$7</f>
        <v>Değişim Yönetimi Eğitimi</v>
      </c>
      <c r="B100" s="3">
        <f>Veri!$I$7</f>
        <v>20</v>
      </c>
      <c r="C100" s="3">
        <f>Veri!$J$7</f>
        <v>17</v>
      </c>
      <c r="D100" s="3">
        <f t="shared" si="0"/>
        <v>-3</v>
      </c>
    </row>
    <row r="101" spans="1:4" x14ac:dyDescent="0.25">
      <c r="A101" s="2" t="str">
        <f>Veri!$B$12</f>
        <v>Su Ayak İzi Hesaplama Eğitimi</v>
      </c>
      <c r="B101" s="3">
        <f>Veri!$I$12</f>
        <v>25</v>
      </c>
      <c r="C101" s="3">
        <f>Veri!$J$12</f>
        <v>21</v>
      </c>
      <c r="D101" s="3">
        <f t="shared" si="0"/>
        <v>-4</v>
      </c>
    </row>
    <row r="102" spans="1:4" x14ac:dyDescent="0.25">
      <c r="A102" s="2" t="str">
        <f>Veri!$B$23</f>
        <v>Yazılı İletişimde Algı Yönetimi ve Raporlama Eğitimi</v>
      </c>
      <c r="B102" s="3">
        <f>Veri!$I$23</f>
        <v>15</v>
      </c>
      <c r="C102" s="3">
        <f>Veri!$J$23</f>
        <v>12</v>
      </c>
      <c r="D102" s="3">
        <f t="shared" si="0"/>
        <v>-3</v>
      </c>
    </row>
    <row r="103" spans="1:4" x14ac:dyDescent="0.25">
      <c r="A103" s="2" t="str">
        <f>Veri!$B$17</f>
        <v>Uygulamalı Kömür Numune ve Analiz Eğitimi</v>
      </c>
      <c r="B103" s="3">
        <f>Veri!$I$17</f>
        <v>10</v>
      </c>
      <c r="C103" s="3">
        <f>Veri!$J$17</f>
        <v>7</v>
      </c>
      <c r="D103" s="3">
        <f t="shared" si="0"/>
        <v>-3</v>
      </c>
    </row>
    <row r="104" spans="1:4" x14ac:dyDescent="0.25">
      <c r="A104" s="2" t="str">
        <f>Veri!$B$32</f>
        <v>Uygulamalı Çimento Analizleri Eğitimi I. Grup</v>
      </c>
      <c r="B104" s="3">
        <f>Veri!$I$32</f>
        <v>10</v>
      </c>
      <c r="C104" s="3">
        <f>Veri!$J$32</f>
        <v>7</v>
      </c>
      <c r="D104" s="3">
        <f t="shared" si="0"/>
        <v>-3</v>
      </c>
    </row>
    <row r="105" spans="1:4" x14ac:dyDescent="0.25">
      <c r="A105" s="2" t="str">
        <f>Veri!$B$15</f>
        <v>Phyton İleri Düzey Eğitimi</v>
      </c>
      <c r="B105" s="3">
        <f>Veri!$I$15</f>
        <v>15</v>
      </c>
      <c r="C105" s="3">
        <f>Veri!$J$15</f>
        <v>10</v>
      </c>
      <c r="D105" s="3">
        <f t="shared" si="0"/>
        <v>-5</v>
      </c>
    </row>
    <row r="106" spans="1:4" x14ac:dyDescent="0.25">
      <c r="A106" s="2" t="str">
        <f>Veri!$B$13</f>
        <v>Süreç Yönetimi Tabanlı Kurumsal Dönüşüm Eğitimi</v>
      </c>
      <c r="B106" s="3">
        <f>Veri!$I$13</f>
        <v>20</v>
      </c>
      <c r="C106" s="3">
        <f>Veri!$J$13</f>
        <v>13</v>
      </c>
      <c r="D106" s="3">
        <f t="shared" si="0"/>
        <v>-7</v>
      </c>
    </row>
    <row r="107" spans="1:4" x14ac:dyDescent="0.25">
      <c r="A107" s="2" t="str">
        <f>Veri!$B$5</f>
        <v>Yeni Mühendisler için Enerji Verimliliği Eğitimi II. Grup</v>
      </c>
      <c r="B107" s="3">
        <f>Veri!$I$5</f>
        <v>25</v>
      </c>
      <c r="C107" s="3">
        <f>Veri!$J$5</f>
        <v>16</v>
      </c>
      <c r="D107" s="3">
        <f t="shared" si="0"/>
        <v>-9</v>
      </c>
    </row>
    <row r="108" spans="1:4" x14ac:dyDescent="0.25">
      <c r="A108" s="2" t="str">
        <f>Veri!$B$19</f>
        <v>Kaplumbağa Terbiyecisinin Sırrı (Liderlik)</v>
      </c>
      <c r="B108" s="3">
        <f>Veri!$I$19</f>
        <v>15</v>
      </c>
      <c r="C108" s="3">
        <f>Veri!$J$19</f>
        <v>9</v>
      </c>
      <c r="D108" s="3">
        <f t="shared" si="0"/>
        <v>-6</v>
      </c>
    </row>
    <row r="109" spans="1:4" x14ac:dyDescent="0.25">
      <c r="A109" s="2" t="str">
        <f>Veri!$B$20</f>
        <v>Kimyasal Değerlendirme Uzmanı Eğitimi ve Sınavı</v>
      </c>
      <c r="B109" s="3">
        <f>Veri!$I$20</f>
        <v>25</v>
      </c>
      <c r="C109" s="3">
        <f>Veri!$J$20</f>
        <v>15</v>
      </c>
      <c r="D109" s="3">
        <f t="shared" si="0"/>
        <v>-10</v>
      </c>
    </row>
    <row r="110" spans="1:4" x14ac:dyDescent="0.25">
      <c r="A110" s="2" t="str">
        <f>Veri!$B$28</f>
        <v>Temel Seviye Hidrolik- Elektrohidrolik Eğitimi</v>
      </c>
      <c r="B110" s="3">
        <f>Veri!$I$28</f>
        <v>25</v>
      </c>
      <c r="C110" s="3">
        <f>Veri!$J$28</f>
        <v>9</v>
      </c>
      <c r="D110" s="3">
        <f t="shared" si="0"/>
        <v>-16</v>
      </c>
    </row>
  </sheetData>
  <mergeCells count="25">
    <mergeCell ref="A46:M46"/>
    <mergeCell ref="A66:M66"/>
    <mergeCell ref="I4:J4"/>
    <mergeCell ref="A84:M84"/>
    <mergeCell ref="A27:M27"/>
    <mergeCell ref="K4:L4"/>
    <mergeCell ref="C4:D4"/>
    <mergeCell ref="E4:F4"/>
    <mergeCell ref="G6:H6"/>
    <mergeCell ref="E6:F6"/>
    <mergeCell ref="A1:M1"/>
    <mergeCell ref="A5:B5"/>
    <mergeCell ref="G5:H5"/>
    <mergeCell ref="K6:L6"/>
    <mergeCell ref="I5:J5"/>
    <mergeCell ref="A4:B4"/>
    <mergeCell ref="G4:H4"/>
    <mergeCell ref="A2:M2"/>
    <mergeCell ref="C6:D6"/>
    <mergeCell ref="I6:J6"/>
    <mergeCell ref="A8:M8"/>
    <mergeCell ref="C5:D5"/>
    <mergeCell ref="E5:F5"/>
    <mergeCell ref="K5:L5"/>
    <mergeCell ref="A6:B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6" customWidth="1"/>
    <col min="3" max="3" width="8" customWidth="1"/>
    <col min="4" max="4" width="16" customWidth="1"/>
    <col min="5" max="5" width="6" customWidth="1"/>
    <col min="6" max="6" width="12" customWidth="1"/>
    <col min="7" max="13" width="10" customWidth="1"/>
  </cols>
  <sheetData>
    <row r="1" spans="1:13" ht="38.25" x14ac:dyDescent="0.25">
      <c r="A1" s="5" t="s">
        <v>37</v>
      </c>
      <c r="B1" s="5" t="s">
        <v>29</v>
      </c>
      <c r="C1" s="5" t="s">
        <v>38</v>
      </c>
      <c r="D1" s="5" t="s">
        <v>39</v>
      </c>
      <c r="E1" s="5" t="s">
        <v>10</v>
      </c>
      <c r="F1" s="5" t="s">
        <v>22</v>
      </c>
      <c r="G1" s="5" t="s">
        <v>32</v>
      </c>
      <c r="H1" s="5" t="s">
        <v>40</v>
      </c>
      <c r="I1" s="5" t="s">
        <v>41</v>
      </c>
      <c r="J1" s="5" t="s">
        <v>30</v>
      </c>
      <c r="K1" s="5" t="s">
        <v>42</v>
      </c>
      <c r="L1" s="5" t="s">
        <v>43</v>
      </c>
      <c r="M1" s="5" t="s">
        <v>44</v>
      </c>
    </row>
    <row r="2" spans="1:13" x14ac:dyDescent="0.25">
      <c r="A2" s="6" t="s">
        <v>25</v>
      </c>
      <c r="B2" s="6" t="s">
        <v>45</v>
      </c>
      <c r="C2" s="7">
        <v>2</v>
      </c>
      <c r="D2" s="6" t="s">
        <v>46</v>
      </c>
      <c r="E2" s="7">
        <v>1</v>
      </c>
      <c r="F2" s="6" t="s">
        <v>24</v>
      </c>
      <c r="G2" s="8">
        <v>3.97</v>
      </c>
      <c r="H2" s="7">
        <v>24</v>
      </c>
      <c r="I2" s="7">
        <v>25</v>
      </c>
      <c r="J2" s="7">
        <v>40</v>
      </c>
      <c r="K2" s="7">
        <v>40</v>
      </c>
      <c r="L2" s="7">
        <f>RANK(J2,$J$2:$J$47,0)+COUNTIF($J$2:J2,J2)-1</f>
        <v>6</v>
      </c>
      <c r="M2" s="7">
        <f>IF(G2="","",RANK(G2,$G$2:$G$47,0)+COUNTIF($G$2:G2,G2)-1)</f>
        <v>19</v>
      </c>
    </row>
    <row r="3" spans="1:13" x14ac:dyDescent="0.25">
      <c r="A3" s="6" t="s">
        <v>25</v>
      </c>
      <c r="B3" s="6" t="s">
        <v>47</v>
      </c>
      <c r="C3" s="7">
        <v>1</v>
      </c>
      <c r="D3" s="6" t="s">
        <v>48</v>
      </c>
      <c r="E3" s="7">
        <v>1</v>
      </c>
      <c r="F3" s="6" t="s">
        <v>24</v>
      </c>
      <c r="G3" s="8">
        <v>4</v>
      </c>
      <c r="H3" s="7">
        <v>9</v>
      </c>
      <c r="I3" s="7">
        <v>25</v>
      </c>
      <c r="J3" s="7">
        <v>26</v>
      </c>
      <c r="K3" s="7">
        <v>26</v>
      </c>
      <c r="L3" s="7">
        <f>RANK(J3,$J$2:$J$47,0)+COUNTIF($J$2:J3,J3)-1</f>
        <v>13</v>
      </c>
      <c r="M3" s="7">
        <f>IF(G3="","",RANK(G3,$G$2:$G$47,0)+COUNTIF($G$2:G3,G3)-1)</f>
        <v>17</v>
      </c>
    </row>
    <row r="4" spans="1:13" x14ac:dyDescent="0.25">
      <c r="A4" s="6" t="s">
        <v>25</v>
      </c>
      <c r="B4" s="6" t="s">
        <v>49</v>
      </c>
      <c r="C4" s="7">
        <v>1</v>
      </c>
      <c r="D4" s="6" t="s">
        <v>50</v>
      </c>
      <c r="E4" s="7">
        <v>1</v>
      </c>
      <c r="F4" s="6" t="s">
        <v>24</v>
      </c>
      <c r="G4" s="8">
        <v>3.73</v>
      </c>
      <c r="H4" s="7">
        <v>11</v>
      </c>
      <c r="I4" s="7">
        <v>15</v>
      </c>
      <c r="J4" s="7">
        <v>18</v>
      </c>
      <c r="K4" s="7">
        <v>18</v>
      </c>
      <c r="L4" s="7">
        <f>RANK(J4,$J$2:$J$47,0)+COUNTIF($J$2:J4,J4)-1</f>
        <v>18</v>
      </c>
      <c r="M4" s="7">
        <f>IF(G4="","",RANK(G4,$G$2:$G$47,0)+COUNTIF($G$2:G4,G4)-1)</f>
        <v>27</v>
      </c>
    </row>
    <row r="5" spans="1:13" x14ac:dyDescent="0.25">
      <c r="A5" s="6" t="s">
        <v>27</v>
      </c>
      <c r="B5" s="6" t="s">
        <v>51</v>
      </c>
      <c r="C5" s="7">
        <v>2</v>
      </c>
      <c r="D5" s="6" t="s">
        <v>52</v>
      </c>
      <c r="E5" s="7">
        <v>1</v>
      </c>
      <c r="F5" s="6" t="s">
        <v>24</v>
      </c>
      <c r="G5" s="8">
        <v>4.37</v>
      </c>
      <c r="H5" s="7">
        <v>7</v>
      </c>
      <c r="I5" s="7">
        <v>25</v>
      </c>
      <c r="J5" s="7">
        <v>16</v>
      </c>
      <c r="K5" s="7">
        <v>16</v>
      </c>
      <c r="L5" s="7">
        <f>RANK(J5,$J$2:$J$47,0)+COUNTIF($J$2:J5,J5)-1</f>
        <v>21</v>
      </c>
      <c r="M5" s="7">
        <f>IF(G5="","",RANK(G5,$G$2:$G$47,0)+COUNTIF($G$2:G5,G5)-1)</f>
        <v>6</v>
      </c>
    </row>
    <row r="6" spans="1:13" x14ac:dyDescent="0.25">
      <c r="A6" s="6" t="s">
        <v>25</v>
      </c>
      <c r="B6" s="6" t="s">
        <v>53</v>
      </c>
      <c r="C6" s="7">
        <v>2</v>
      </c>
      <c r="D6" s="6" t="s">
        <v>54</v>
      </c>
      <c r="E6" s="7">
        <v>2</v>
      </c>
      <c r="F6" s="6" t="s">
        <v>26</v>
      </c>
      <c r="G6" s="8">
        <v>4.51</v>
      </c>
      <c r="H6" s="7">
        <v>32</v>
      </c>
      <c r="I6" s="7">
        <v>25</v>
      </c>
      <c r="J6" s="7">
        <v>36</v>
      </c>
      <c r="K6" s="7">
        <v>36</v>
      </c>
      <c r="L6" s="7">
        <f>RANK(J6,$J$2:$J$47,0)+COUNTIF($J$2:J6,J6)-1</f>
        <v>9</v>
      </c>
      <c r="M6" s="7">
        <f>IF(G6="","",RANK(G6,$G$2:$G$47,0)+COUNTIF($G$2:G6,G6)-1)</f>
        <v>1</v>
      </c>
    </row>
    <row r="7" spans="1:13" x14ac:dyDescent="0.25">
      <c r="A7" s="6" t="s">
        <v>25</v>
      </c>
      <c r="B7" s="6" t="s">
        <v>55</v>
      </c>
      <c r="C7" s="7">
        <v>2</v>
      </c>
      <c r="D7" s="6" t="s">
        <v>56</v>
      </c>
      <c r="E7" s="7">
        <v>2</v>
      </c>
      <c r="F7" s="6" t="s">
        <v>26</v>
      </c>
      <c r="G7" s="8">
        <v>4.38</v>
      </c>
      <c r="H7" s="7">
        <v>11</v>
      </c>
      <c r="I7" s="7">
        <v>20</v>
      </c>
      <c r="J7" s="7">
        <v>17</v>
      </c>
      <c r="K7" s="7">
        <v>17</v>
      </c>
      <c r="L7" s="7">
        <f>RANK(J7,$J$2:$J$47,0)+COUNTIF($J$2:J7,J7)-1</f>
        <v>19</v>
      </c>
      <c r="M7" s="7">
        <f>IF(G7="","",RANK(G7,$G$2:$G$47,0)+COUNTIF($G$2:G7,G7)-1)</f>
        <v>5</v>
      </c>
    </row>
    <row r="8" spans="1:13" x14ac:dyDescent="0.25">
      <c r="A8" s="6" t="s">
        <v>25</v>
      </c>
      <c r="B8" s="6" t="s">
        <v>57</v>
      </c>
      <c r="C8" s="7">
        <v>1</v>
      </c>
      <c r="D8" s="6" t="s">
        <v>58</v>
      </c>
      <c r="E8" s="7">
        <v>2</v>
      </c>
      <c r="F8" s="6" t="s">
        <v>26</v>
      </c>
      <c r="G8" s="8">
        <v>3.88</v>
      </c>
      <c r="H8" s="7">
        <v>12</v>
      </c>
      <c r="I8" s="7">
        <v>15</v>
      </c>
      <c r="J8" s="7">
        <v>17</v>
      </c>
      <c r="K8" s="7">
        <v>17</v>
      </c>
      <c r="L8" s="7">
        <f>RANK(J8,$J$2:$J$47,0)+COUNTIF($J$2:J8,J8)-1</f>
        <v>20</v>
      </c>
      <c r="M8" s="7">
        <f>IF(G8="","",RANK(G8,$G$2:$G$47,0)+COUNTIF($G$2:G8,G8)-1)</f>
        <v>20</v>
      </c>
    </row>
    <row r="9" spans="1:13" x14ac:dyDescent="0.25">
      <c r="A9" s="6" t="s">
        <v>25</v>
      </c>
      <c r="B9" s="6" t="s">
        <v>59</v>
      </c>
      <c r="C9" s="7">
        <v>5</v>
      </c>
      <c r="D9" s="6" t="s">
        <v>60</v>
      </c>
      <c r="E9" s="7">
        <v>2</v>
      </c>
      <c r="F9" s="6" t="s">
        <v>26</v>
      </c>
      <c r="G9" s="8"/>
      <c r="H9" s="7"/>
      <c r="I9" s="7">
        <v>15</v>
      </c>
      <c r="J9" s="7">
        <v>13</v>
      </c>
      <c r="K9" s="7">
        <v>13</v>
      </c>
      <c r="L9" s="7">
        <f>RANK(J9,$J$2:$J$47,0)+COUNTIF($J$2:J9,J9)-1</f>
        <v>24</v>
      </c>
      <c r="M9" s="7" t="str">
        <f>IF(G9="","",RANK(G9,$G$2:$G$47,0)+COUNTIF($G$2:G9,G9)-1)</f>
        <v/>
      </c>
    </row>
    <row r="10" spans="1:13" x14ac:dyDescent="0.25">
      <c r="A10" s="6" t="s">
        <v>25</v>
      </c>
      <c r="B10" s="6" t="s">
        <v>61</v>
      </c>
      <c r="C10" s="7">
        <v>11</v>
      </c>
      <c r="D10" s="6" t="s">
        <v>62</v>
      </c>
      <c r="E10" s="7">
        <v>2</v>
      </c>
      <c r="F10" s="6" t="s">
        <v>26</v>
      </c>
      <c r="G10" s="8"/>
      <c r="H10" s="7"/>
      <c r="I10" s="7"/>
      <c r="J10" s="7">
        <v>7</v>
      </c>
      <c r="K10" s="7">
        <v>7</v>
      </c>
      <c r="L10" s="7">
        <f>RANK(J10,$J$2:$J$47,0)+COUNTIF($J$2:J10,J10)-1</f>
        <v>37</v>
      </c>
      <c r="M10" s="7" t="str">
        <f>IF(G10="","",RANK(G10,$G$2:$G$47,0)+COUNTIF($G$2:G10,G10)-1)</f>
        <v/>
      </c>
    </row>
    <row r="11" spans="1:13" x14ac:dyDescent="0.25">
      <c r="A11" s="6" t="s">
        <v>27</v>
      </c>
      <c r="B11" s="6" t="s">
        <v>63</v>
      </c>
      <c r="C11" s="7">
        <v>1</v>
      </c>
      <c r="D11" s="6" t="s">
        <v>64</v>
      </c>
      <c r="E11" s="7">
        <v>3</v>
      </c>
      <c r="F11" s="6" t="s">
        <v>24</v>
      </c>
      <c r="G11" s="8"/>
      <c r="H11" s="7"/>
      <c r="I11" s="7"/>
      <c r="J11" s="7">
        <v>187</v>
      </c>
      <c r="K11" s="7">
        <v>187</v>
      </c>
      <c r="L11" s="7">
        <f>RANK(J11,$J$2:$J$47,0)+COUNTIF($J$2:J11,J11)-1</f>
        <v>1</v>
      </c>
      <c r="M11" s="7" t="str">
        <f>IF(G11="","",RANK(G11,$G$2:$G$47,0)+COUNTIF($G$2:G11,G11)-1)</f>
        <v/>
      </c>
    </row>
    <row r="12" spans="1:13" x14ac:dyDescent="0.25">
      <c r="A12" s="6" t="s">
        <v>25</v>
      </c>
      <c r="B12" s="6" t="s">
        <v>65</v>
      </c>
      <c r="C12" s="7">
        <v>2</v>
      </c>
      <c r="D12" s="6" t="s">
        <v>66</v>
      </c>
      <c r="E12" s="7">
        <v>3</v>
      </c>
      <c r="F12" s="6" t="s">
        <v>26</v>
      </c>
      <c r="G12" s="8">
        <v>4.13</v>
      </c>
      <c r="H12" s="7">
        <v>18</v>
      </c>
      <c r="I12" s="7">
        <v>25</v>
      </c>
      <c r="J12" s="7">
        <v>21</v>
      </c>
      <c r="K12" s="7">
        <v>21</v>
      </c>
      <c r="L12" s="7">
        <f>RANK(J12,$J$2:$J$47,0)+COUNTIF($J$2:J12,J12)-1</f>
        <v>16</v>
      </c>
      <c r="M12" s="7">
        <f>IF(G12="","",RANK(G12,$G$2:$G$47,0)+COUNTIF($G$2:G12,G12)-1)</f>
        <v>13</v>
      </c>
    </row>
    <row r="13" spans="1:13" x14ac:dyDescent="0.25">
      <c r="A13" s="6" t="s">
        <v>25</v>
      </c>
      <c r="B13" s="6" t="s">
        <v>67</v>
      </c>
      <c r="C13" s="7">
        <v>2</v>
      </c>
      <c r="D13" s="6" t="s">
        <v>68</v>
      </c>
      <c r="E13" s="7">
        <v>3</v>
      </c>
      <c r="F13" s="6" t="s">
        <v>24</v>
      </c>
      <c r="G13" s="8"/>
      <c r="H13" s="7"/>
      <c r="I13" s="7">
        <v>20</v>
      </c>
      <c r="J13" s="7">
        <v>13</v>
      </c>
      <c r="K13" s="7">
        <v>13</v>
      </c>
      <c r="L13" s="7">
        <f>RANK(J13,$J$2:$J$47,0)+COUNTIF($J$2:J13,J13)-1</f>
        <v>25</v>
      </c>
      <c r="M13" s="7" t="str">
        <f>IF(G13="","",RANK(G13,$G$2:$G$47,0)+COUNTIF($G$2:G13,G13)-1)</f>
        <v/>
      </c>
    </row>
    <row r="14" spans="1:13" x14ac:dyDescent="0.25">
      <c r="A14" s="6" t="s">
        <v>27</v>
      </c>
      <c r="B14" s="6" t="s">
        <v>69</v>
      </c>
      <c r="C14" s="7">
        <v>2</v>
      </c>
      <c r="D14" s="6" t="s">
        <v>70</v>
      </c>
      <c r="E14" s="7">
        <v>3</v>
      </c>
      <c r="F14" s="6" t="s">
        <v>26</v>
      </c>
      <c r="G14" s="8">
        <v>4.43</v>
      </c>
      <c r="H14" s="7">
        <v>9</v>
      </c>
      <c r="I14" s="7"/>
      <c r="J14" s="7">
        <v>9</v>
      </c>
      <c r="K14" s="7">
        <v>9</v>
      </c>
      <c r="L14" s="7">
        <f>RANK(J14,$J$2:$J$47,0)+COUNTIF($J$2:J14,J14)-1</f>
        <v>30</v>
      </c>
      <c r="M14" s="7">
        <f>IF(G14="","",RANK(G14,$G$2:$G$47,0)+COUNTIF($G$2:G14,G14)-1)</f>
        <v>3</v>
      </c>
    </row>
    <row r="15" spans="1:13" x14ac:dyDescent="0.25">
      <c r="A15" s="6" t="s">
        <v>25</v>
      </c>
      <c r="B15" s="6" t="s">
        <v>71</v>
      </c>
      <c r="C15" s="7">
        <v>3</v>
      </c>
      <c r="D15" s="6" t="s">
        <v>72</v>
      </c>
      <c r="E15" s="7">
        <v>4</v>
      </c>
      <c r="F15" s="6" t="s">
        <v>26</v>
      </c>
      <c r="G15" s="8"/>
      <c r="H15" s="7"/>
      <c r="I15" s="7">
        <v>15</v>
      </c>
      <c r="J15" s="7">
        <v>10</v>
      </c>
      <c r="K15" s="7">
        <v>10</v>
      </c>
      <c r="L15" s="7">
        <f>RANK(J15,$J$2:$J$47,0)+COUNTIF($J$2:J15,J15)-1</f>
        <v>29</v>
      </c>
      <c r="M15" s="7" t="str">
        <f>IF(G15="","",RANK(G15,$G$2:$G$47,0)+COUNTIF($G$2:G15,G15)-1)</f>
        <v/>
      </c>
    </row>
    <row r="16" spans="1:13" x14ac:dyDescent="0.25">
      <c r="A16" s="6" t="s">
        <v>25</v>
      </c>
      <c r="B16" s="6" t="s">
        <v>73</v>
      </c>
      <c r="C16" s="7">
        <v>2</v>
      </c>
      <c r="D16" s="6" t="s">
        <v>74</v>
      </c>
      <c r="E16" s="7">
        <v>4</v>
      </c>
      <c r="F16" s="6" t="s">
        <v>26</v>
      </c>
      <c r="G16" s="8">
        <v>3.61</v>
      </c>
      <c r="H16" s="7">
        <v>13</v>
      </c>
      <c r="I16" s="7">
        <v>20</v>
      </c>
      <c r="J16" s="7">
        <v>22</v>
      </c>
      <c r="K16" s="7">
        <v>22</v>
      </c>
      <c r="L16" s="7">
        <f>RANK(J16,$J$2:$J$47,0)+COUNTIF($J$2:J16,J16)-1</f>
        <v>15</v>
      </c>
      <c r="M16" s="7">
        <f>IF(G16="","",RANK(G16,$G$2:$G$47,0)+COUNTIF($G$2:G16,G16)-1)</f>
        <v>28</v>
      </c>
    </row>
    <row r="17" spans="1:13" x14ac:dyDescent="0.25">
      <c r="A17" s="6" t="s">
        <v>25</v>
      </c>
      <c r="B17" s="6" t="s">
        <v>75</v>
      </c>
      <c r="C17" s="7">
        <v>1</v>
      </c>
      <c r="D17" s="6" t="s">
        <v>76</v>
      </c>
      <c r="E17" s="7">
        <v>4</v>
      </c>
      <c r="F17" s="6" t="s">
        <v>26</v>
      </c>
      <c r="G17" s="8"/>
      <c r="H17" s="7"/>
      <c r="I17" s="7">
        <v>10</v>
      </c>
      <c r="J17" s="7">
        <v>7</v>
      </c>
      <c r="K17" s="7">
        <v>7</v>
      </c>
      <c r="L17" s="7">
        <f>RANK(J17,$J$2:$J$47,0)+COUNTIF($J$2:J17,J17)-1</f>
        <v>38</v>
      </c>
      <c r="M17" s="7" t="str">
        <f>IF(G17="","",RANK(G17,$G$2:$G$47,0)+COUNTIF($G$2:G17,G17)-1)</f>
        <v/>
      </c>
    </row>
    <row r="18" spans="1:13" x14ac:dyDescent="0.25">
      <c r="A18" s="6" t="s">
        <v>25</v>
      </c>
      <c r="B18" s="6" t="s">
        <v>77</v>
      </c>
      <c r="C18" s="7">
        <v>2</v>
      </c>
      <c r="D18" s="6" t="s">
        <v>74</v>
      </c>
      <c r="E18" s="7">
        <v>4</v>
      </c>
      <c r="F18" s="6" t="s">
        <v>26</v>
      </c>
      <c r="G18" s="8">
        <v>4.29</v>
      </c>
      <c r="H18" s="7">
        <v>19</v>
      </c>
      <c r="I18" s="7">
        <v>25</v>
      </c>
      <c r="J18" s="7">
        <v>32</v>
      </c>
      <c r="K18" s="7">
        <v>32</v>
      </c>
      <c r="L18" s="7">
        <f>RANK(J18,$J$2:$J$47,0)+COUNTIF($J$2:J18,J18)-1</f>
        <v>11</v>
      </c>
      <c r="M18" s="7">
        <f>IF(G18="","",RANK(G18,$G$2:$G$47,0)+COUNTIF($G$2:G18,G18)-1)</f>
        <v>8</v>
      </c>
    </row>
    <row r="19" spans="1:13" x14ac:dyDescent="0.25">
      <c r="A19" s="6" t="s">
        <v>25</v>
      </c>
      <c r="B19" s="6" t="s">
        <v>78</v>
      </c>
      <c r="C19" s="7">
        <v>1</v>
      </c>
      <c r="D19" s="6" t="s">
        <v>79</v>
      </c>
      <c r="E19" s="7">
        <v>4</v>
      </c>
      <c r="F19" s="6" t="s">
        <v>26</v>
      </c>
      <c r="G19" s="8">
        <v>4.3099999999999996</v>
      </c>
      <c r="H19" s="7">
        <v>13</v>
      </c>
      <c r="I19" s="7">
        <v>15</v>
      </c>
      <c r="J19" s="7">
        <v>9</v>
      </c>
      <c r="K19" s="7">
        <v>9</v>
      </c>
      <c r="L19" s="7">
        <f>RANK(J19,$J$2:$J$47,0)+COUNTIF($J$2:J19,J19)-1</f>
        <v>31</v>
      </c>
      <c r="M19" s="7">
        <f>IF(G19="","",RANK(G19,$G$2:$G$47,0)+COUNTIF($G$2:G19,G19)-1)</f>
        <v>7</v>
      </c>
    </row>
    <row r="20" spans="1:13" x14ac:dyDescent="0.25">
      <c r="A20" s="6" t="s">
        <v>25</v>
      </c>
      <c r="B20" s="6" t="s">
        <v>80</v>
      </c>
      <c r="C20" s="7">
        <v>9</v>
      </c>
      <c r="D20" s="6" t="s">
        <v>81</v>
      </c>
      <c r="E20" s="7">
        <v>5</v>
      </c>
      <c r="F20" s="6" t="s">
        <v>26</v>
      </c>
      <c r="G20" s="8">
        <v>4.42</v>
      </c>
      <c r="H20" s="7">
        <v>5</v>
      </c>
      <c r="I20" s="7">
        <v>25</v>
      </c>
      <c r="J20" s="7">
        <v>15</v>
      </c>
      <c r="K20" s="7">
        <v>15</v>
      </c>
      <c r="L20" s="7">
        <f>RANK(J20,$J$2:$J$47,0)+COUNTIF($J$2:J20,J20)-1</f>
        <v>22</v>
      </c>
      <c r="M20" s="7">
        <f>IF(G20="","",RANK(G20,$G$2:$G$47,0)+COUNTIF($G$2:G20,G20)-1)</f>
        <v>4</v>
      </c>
    </row>
    <row r="21" spans="1:13" x14ac:dyDescent="0.25">
      <c r="A21" s="6" t="s">
        <v>25</v>
      </c>
      <c r="B21" s="6" t="s">
        <v>82</v>
      </c>
      <c r="C21" s="7">
        <v>2</v>
      </c>
      <c r="D21" s="6" t="s">
        <v>83</v>
      </c>
      <c r="E21" s="7">
        <v>4</v>
      </c>
      <c r="F21" s="6" t="s">
        <v>24</v>
      </c>
      <c r="G21" s="8">
        <v>3.81</v>
      </c>
      <c r="H21" s="7">
        <v>15</v>
      </c>
      <c r="I21" s="7">
        <v>30</v>
      </c>
      <c r="J21" s="7">
        <v>29</v>
      </c>
      <c r="K21" s="7">
        <v>29</v>
      </c>
      <c r="L21" s="7">
        <f>RANK(J21,$J$2:$J$47,0)+COUNTIF($J$2:J21,J21)-1</f>
        <v>12</v>
      </c>
      <c r="M21" s="7">
        <f>IF(G21="","",RANK(G21,$G$2:$G$47,0)+COUNTIF($G$2:G21,G21)-1)</f>
        <v>24</v>
      </c>
    </row>
    <row r="22" spans="1:13" x14ac:dyDescent="0.25">
      <c r="A22" s="6" t="s">
        <v>25</v>
      </c>
      <c r="B22" s="6" t="s">
        <v>84</v>
      </c>
      <c r="C22" s="7">
        <v>2</v>
      </c>
      <c r="D22" s="6" t="s">
        <v>83</v>
      </c>
      <c r="E22" s="7">
        <v>4</v>
      </c>
      <c r="F22" s="6" t="s">
        <v>26</v>
      </c>
      <c r="G22" s="8">
        <v>3.41</v>
      </c>
      <c r="H22" s="7">
        <v>8</v>
      </c>
      <c r="I22" s="7">
        <v>30</v>
      </c>
      <c r="J22" s="7">
        <v>37</v>
      </c>
      <c r="K22" s="7">
        <v>37</v>
      </c>
      <c r="L22" s="7">
        <f>RANK(J22,$J$2:$J$47,0)+COUNTIF($J$2:J22,J22)-1</f>
        <v>8</v>
      </c>
      <c r="M22" s="7">
        <f>IF(G22="","",RANK(G22,$G$2:$G$47,0)+COUNTIF($G$2:G22,G22)-1)</f>
        <v>30</v>
      </c>
    </row>
    <row r="23" spans="1:13" x14ac:dyDescent="0.25">
      <c r="A23" s="6" t="s">
        <v>25</v>
      </c>
      <c r="B23" s="6" t="s">
        <v>85</v>
      </c>
      <c r="C23" s="7">
        <v>1</v>
      </c>
      <c r="D23" s="6" t="s">
        <v>86</v>
      </c>
      <c r="E23" s="7">
        <v>4</v>
      </c>
      <c r="F23" s="6" t="s">
        <v>26</v>
      </c>
      <c r="G23" s="8">
        <v>4.28</v>
      </c>
      <c r="H23" s="7">
        <v>9</v>
      </c>
      <c r="I23" s="7">
        <v>15</v>
      </c>
      <c r="J23" s="7">
        <v>12</v>
      </c>
      <c r="K23" s="7">
        <v>12</v>
      </c>
      <c r="L23" s="7">
        <f>RANK(J23,$J$2:$J$47,0)+COUNTIF($J$2:J23,J23)-1</f>
        <v>26</v>
      </c>
      <c r="M23" s="7">
        <f>IF(G23="","",RANK(G23,$G$2:$G$47,0)+COUNTIF($G$2:G23,G23)-1)</f>
        <v>9</v>
      </c>
    </row>
    <row r="24" spans="1:13" x14ac:dyDescent="0.25">
      <c r="A24" s="6" t="s">
        <v>25</v>
      </c>
      <c r="B24" s="6" t="s">
        <v>87</v>
      </c>
      <c r="C24" s="7">
        <v>2</v>
      </c>
      <c r="D24" s="6" t="s">
        <v>88</v>
      </c>
      <c r="E24" s="7">
        <v>5</v>
      </c>
      <c r="F24" s="6" t="s">
        <v>26</v>
      </c>
      <c r="G24" s="8">
        <v>3.77</v>
      </c>
      <c r="H24" s="7">
        <v>11</v>
      </c>
      <c r="I24" s="7">
        <v>25</v>
      </c>
      <c r="J24" s="7">
        <v>26</v>
      </c>
      <c r="K24" s="7">
        <v>26</v>
      </c>
      <c r="L24" s="7">
        <f>RANK(J24,$J$2:$J$47,0)+COUNTIF($J$2:J24,J24)-1</f>
        <v>14</v>
      </c>
      <c r="M24" s="7">
        <f>IF(G24="","",RANK(G24,$G$2:$G$47,0)+COUNTIF($G$2:G24,G24)-1)</f>
        <v>25</v>
      </c>
    </row>
    <row r="25" spans="1:13" x14ac:dyDescent="0.25">
      <c r="A25" s="6" t="s">
        <v>27</v>
      </c>
      <c r="B25" s="6" t="s">
        <v>89</v>
      </c>
      <c r="C25" s="7">
        <v>1</v>
      </c>
      <c r="D25" s="6" t="s">
        <v>90</v>
      </c>
      <c r="E25" s="7">
        <v>4</v>
      </c>
      <c r="F25" s="6" t="s">
        <v>24</v>
      </c>
      <c r="G25" s="8">
        <v>4.22</v>
      </c>
      <c r="H25" s="7">
        <v>8</v>
      </c>
      <c r="I25" s="7"/>
      <c r="J25" s="7">
        <v>11</v>
      </c>
      <c r="K25" s="7">
        <v>11</v>
      </c>
      <c r="L25" s="7">
        <f>RANK(J25,$J$2:$J$47,0)+COUNTIF($J$2:J25,J25)-1</f>
        <v>27</v>
      </c>
      <c r="M25" s="7">
        <f>IF(G25="","",RANK(G25,$G$2:$G$47,0)+COUNTIF($G$2:G25,G25)-1)</f>
        <v>11</v>
      </c>
    </row>
    <row r="26" spans="1:13" x14ac:dyDescent="0.25">
      <c r="A26" s="6" t="s">
        <v>27</v>
      </c>
      <c r="B26" s="6" t="s">
        <v>91</v>
      </c>
      <c r="C26" s="7">
        <v>1</v>
      </c>
      <c r="D26" s="6" t="s">
        <v>90</v>
      </c>
      <c r="E26" s="7">
        <v>4</v>
      </c>
      <c r="F26" s="6" t="s">
        <v>26</v>
      </c>
      <c r="G26" s="8">
        <v>3.88</v>
      </c>
      <c r="H26" s="7">
        <v>26</v>
      </c>
      <c r="I26" s="7"/>
      <c r="J26" s="7">
        <v>83</v>
      </c>
      <c r="K26" s="7">
        <v>83</v>
      </c>
      <c r="L26" s="7">
        <f>RANK(J26,$J$2:$J$47,0)+COUNTIF($J$2:J26,J26)-1</f>
        <v>3</v>
      </c>
      <c r="M26" s="7">
        <f>IF(G26="","",RANK(G26,$G$2:$G$47,0)+COUNTIF($G$2:G26,G26)-1)</f>
        <v>21</v>
      </c>
    </row>
    <row r="27" spans="1:13" x14ac:dyDescent="0.25">
      <c r="A27" s="6" t="s">
        <v>27</v>
      </c>
      <c r="B27" s="6" t="s">
        <v>92</v>
      </c>
      <c r="C27" s="7">
        <v>1</v>
      </c>
      <c r="D27" s="6" t="s">
        <v>93</v>
      </c>
      <c r="E27" s="7">
        <v>4</v>
      </c>
      <c r="F27" s="6" t="s">
        <v>24</v>
      </c>
      <c r="G27" s="8"/>
      <c r="H27" s="7"/>
      <c r="I27" s="7"/>
      <c r="J27" s="7">
        <v>138</v>
      </c>
      <c r="K27" s="7">
        <v>138</v>
      </c>
      <c r="L27" s="7">
        <f>RANK(J27,$J$2:$J$47,0)+COUNTIF($J$2:J27,J27)-1</f>
        <v>2</v>
      </c>
      <c r="M27" s="7" t="str">
        <f>IF(G27="","",RANK(G27,$G$2:$G$47,0)+COUNTIF($G$2:G27,G27)-1)</f>
        <v/>
      </c>
    </row>
    <row r="28" spans="1:13" x14ac:dyDescent="0.25">
      <c r="A28" s="6" t="s">
        <v>25</v>
      </c>
      <c r="B28" s="6" t="s">
        <v>94</v>
      </c>
      <c r="C28" s="7">
        <v>5</v>
      </c>
      <c r="D28" s="6" t="s">
        <v>95</v>
      </c>
      <c r="E28" s="7">
        <v>5</v>
      </c>
      <c r="F28" s="6" t="s">
        <v>26</v>
      </c>
      <c r="G28" s="8"/>
      <c r="H28" s="7"/>
      <c r="I28" s="7">
        <v>25</v>
      </c>
      <c r="J28" s="7">
        <v>9</v>
      </c>
      <c r="K28" s="7">
        <v>9</v>
      </c>
      <c r="L28" s="7">
        <f>RANK(J28,$J$2:$J$47,0)+COUNTIF($J$2:J28,J28)-1</f>
        <v>32</v>
      </c>
      <c r="M28" s="7" t="str">
        <f>IF(G28="","",RANK(G28,$G$2:$G$47,0)+COUNTIF($G$2:G28,G28)-1)</f>
        <v/>
      </c>
    </row>
    <row r="29" spans="1:13" x14ac:dyDescent="0.25">
      <c r="A29" s="6" t="s">
        <v>27</v>
      </c>
      <c r="B29" s="6" t="s">
        <v>96</v>
      </c>
      <c r="C29" s="7">
        <v>2</v>
      </c>
      <c r="D29" s="6" t="s">
        <v>97</v>
      </c>
      <c r="E29" s="7">
        <v>5</v>
      </c>
      <c r="F29" s="6" t="s">
        <v>26</v>
      </c>
      <c r="G29" s="8">
        <v>4.1399999999999997</v>
      </c>
      <c r="H29" s="7">
        <v>6</v>
      </c>
      <c r="I29" s="7"/>
      <c r="J29" s="7">
        <v>14</v>
      </c>
      <c r="K29" s="7">
        <v>14</v>
      </c>
      <c r="L29" s="7">
        <f>RANK(J29,$J$2:$J$47,0)+COUNTIF($J$2:J29,J29)-1</f>
        <v>23</v>
      </c>
      <c r="M29" s="7">
        <f>IF(G29="","",RANK(G29,$G$2:$G$47,0)+COUNTIF($G$2:G29,G29)-1)</f>
        <v>12</v>
      </c>
    </row>
    <row r="30" spans="1:13" x14ac:dyDescent="0.25">
      <c r="A30" s="6" t="s">
        <v>25</v>
      </c>
      <c r="B30" s="6" t="s">
        <v>98</v>
      </c>
      <c r="C30" s="7">
        <v>2</v>
      </c>
      <c r="D30" s="6" t="s">
        <v>99</v>
      </c>
      <c r="E30" s="7">
        <v>4</v>
      </c>
      <c r="F30" s="6" t="s">
        <v>24</v>
      </c>
      <c r="G30" s="8">
        <v>3.77</v>
      </c>
      <c r="H30" s="7">
        <v>20</v>
      </c>
      <c r="I30" s="7">
        <v>20</v>
      </c>
      <c r="J30" s="7">
        <v>40</v>
      </c>
      <c r="K30" s="7">
        <v>40</v>
      </c>
      <c r="L30" s="7">
        <f>RANK(J30,$J$2:$J$47,0)+COUNTIF($J$2:J30,J30)-1</f>
        <v>7</v>
      </c>
      <c r="M30" s="7">
        <f>IF(G30="","",RANK(G30,$G$2:$G$47,0)+COUNTIF($G$2:G30,G30)-1)</f>
        <v>26</v>
      </c>
    </row>
    <row r="31" spans="1:13" x14ac:dyDescent="0.25">
      <c r="A31" s="6" t="s">
        <v>27</v>
      </c>
      <c r="B31" s="6" t="s">
        <v>100</v>
      </c>
      <c r="C31" s="7">
        <v>1</v>
      </c>
      <c r="D31" s="6" t="s">
        <v>101</v>
      </c>
      <c r="E31" s="7">
        <v>5</v>
      </c>
      <c r="F31" s="6" t="s">
        <v>26</v>
      </c>
      <c r="G31" s="8"/>
      <c r="H31" s="7"/>
      <c r="I31" s="7"/>
      <c r="J31" s="7">
        <v>7</v>
      </c>
      <c r="K31" s="7">
        <v>7</v>
      </c>
      <c r="L31" s="7">
        <f>RANK(J31,$J$2:$J$47,0)+COUNTIF($J$2:J31,J31)-1</f>
        <v>39</v>
      </c>
      <c r="M31" s="7" t="str">
        <f>IF(G31="","",RANK(G31,$G$2:$G$47,0)+COUNTIF($G$2:G31,G31)-1)</f>
        <v/>
      </c>
    </row>
    <row r="32" spans="1:13" x14ac:dyDescent="0.25">
      <c r="A32" s="6" t="s">
        <v>27</v>
      </c>
      <c r="B32" s="6" t="s">
        <v>102</v>
      </c>
      <c r="C32" s="7">
        <v>1</v>
      </c>
      <c r="D32" s="6" t="s">
        <v>103</v>
      </c>
      <c r="E32" s="7">
        <v>5</v>
      </c>
      <c r="F32" s="6" t="s">
        <v>26</v>
      </c>
      <c r="G32" s="8"/>
      <c r="H32" s="7"/>
      <c r="I32" s="7">
        <v>10</v>
      </c>
      <c r="J32" s="7">
        <v>7</v>
      </c>
      <c r="K32" s="7">
        <v>7</v>
      </c>
      <c r="L32" s="7">
        <f>RANK(J32,$J$2:$J$47,0)+COUNTIF($J$2:J32,J32)-1</f>
        <v>40</v>
      </c>
      <c r="M32" s="7" t="str">
        <f>IF(G32="","",RANK(G32,$G$2:$G$47,0)+COUNTIF($G$2:G32,G32)-1)</f>
        <v/>
      </c>
    </row>
    <row r="33" spans="1:13" x14ac:dyDescent="0.25">
      <c r="A33" s="6" t="s">
        <v>27</v>
      </c>
      <c r="B33" s="6" t="s">
        <v>104</v>
      </c>
      <c r="C33" s="7">
        <v>1</v>
      </c>
      <c r="D33" s="6" t="s">
        <v>105</v>
      </c>
      <c r="E33" s="7">
        <v>5</v>
      </c>
      <c r="F33" s="6" t="s">
        <v>24</v>
      </c>
      <c r="G33" s="8">
        <v>4.03</v>
      </c>
      <c r="H33" s="7">
        <v>17</v>
      </c>
      <c r="I33" s="7"/>
      <c r="J33" s="7">
        <v>21</v>
      </c>
      <c r="K33" s="7">
        <v>21</v>
      </c>
      <c r="L33" s="7">
        <f>RANK(J33,$J$2:$J$47,0)+COUNTIF($J$2:J33,J33)-1</f>
        <v>17</v>
      </c>
      <c r="M33" s="7">
        <f>IF(G33="","",RANK(G33,$G$2:$G$47,0)+COUNTIF($G$2:G33,G33)-1)</f>
        <v>15</v>
      </c>
    </row>
    <row r="34" spans="1:13" x14ac:dyDescent="0.25">
      <c r="A34" s="6" t="s">
        <v>25</v>
      </c>
      <c r="B34" s="6" t="s">
        <v>106</v>
      </c>
      <c r="C34" s="7">
        <v>2</v>
      </c>
      <c r="D34" s="6" t="s">
        <v>107</v>
      </c>
      <c r="E34" s="7">
        <v>5</v>
      </c>
      <c r="F34" s="6" t="s">
        <v>24</v>
      </c>
      <c r="G34" s="8">
        <v>4.2300000000000004</v>
      </c>
      <c r="H34" s="7">
        <v>17</v>
      </c>
      <c r="I34" s="7">
        <v>25</v>
      </c>
      <c r="J34" s="7">
        <v>36</v>
      </c>
      <c r="K34" s="7">
        <v>36</v>
      </c>
      <c r="L34" s="7">
        <f>RANK(J34,$J$2:$J$47,0)+COUNTIF($J$2:J34,J34)-1</f>
        <v>10</v>
      </c>
      <c r="M34" s="7">
        <f>IF(G34="","",RANK(G34,$G$2:$G$47,0)+COUNTIF($G$2:G34,G34)-1)</f>
        <v>10</v>
      </c>
    </row>
    <row r="35" spans="1:13" x14ac:dyDescent="0.25">
      <c r="A35" s="6" t="s">
        <v>27</v>
      </c>
      <c r="B35" s="6" t="s">
        <v>108</v>
      </c>
      <c r="C35" s="7">
        <v>1</v>
      </c>
      <c r="D35" s="6" t="s">
        <v>109</v>
      </c>
      <c r="E35" s="7">
        <v>5</v>
      </c>
      <c r="F35" s="6" t="s">
        <v>26</v>
      </c>
      <c r="G35" s="8">
        <v>3.47</v>
      </c>
      <c r="H35" s="7">
        <v>5</v>
      </c>
      <c r="I35" s="7"/>
      <c r="J35" s="7">
        <v>9</v>
      </c>
      <c r="K35" s="7">
        <v>9</v>
      </c>
      <c r="L35" s="7">
        <f>RANK(J35,$J$2:$J$47,0)+COUNTIF($J$2:J35,J35)-1</f>
        <v>33</v>
      </c>
      <c r="M35" s="7">
        <f>IF(G35="","",RANK(G35,$G$2:$G$47,0)+COUNTIF($G$2:G35,G35)-1)</f>
        <v>29</v>
      </c>
    </row>
    <row r="36" spans="1:13" x14ac:dyDescent="0.25">
      <c r="A36" s="6" t="s">
        <v>27</v>
      </c>
      <c r="B36" s="6" t="s">
        <v>110</v>
      </c>
      <c r="C36" s="7">
        <v>1</v>
      </c>
      <c r="D36" s="6" t="s">
        <v>111</v>
      </c>
      <c r="E36" s="7">
        <v>5</v>
      </c>
      <c r="F36" s="6" t="s">
        <v>26</v>
      </c>
      <c r="G36" s="8">
        <v>4.1100000000000003</v>
      </c>
      <c r="H36" s="7">
        <v>2</v>
      </c>
      <c r="I36" s="7"/>
      <c r="J36" s="7">
        <v>8</v>
      </c>
      <c r="K36" s="7">
        <v>8</v>
      </c>
      <c r="L36" s="7">
        <f>RANK(J36,$J$2:$J$47,0)+COUNTIF($J$2:J36,J36)-1</f>
        <v>34</v>
      </c>
      <c r="M36" s="7">
        <f>IF(G36="","",RANK(G36,$G$2:$G$47,0)+COUNTIF($G$2:G36,G36)-1)</f>
        <v>14</v>
      </c>
    </row>
    <row r="37" spans="1:13" x14ac:dyDescent="0.25">
      <c r="A37" s="6" t="s">
        <v>27</v>
      </c>
      <c r="B37" s="6" t="s">
        <v>112</v>
      </c>
      <c r="C37" s="7">
        <v>1</v>
      </c>
      <c r="D37" s="6" t="s">
        <v>111</v>
      </c>
      <c r="E37" s="7">
        <v>5</v>
      </c>
      <c r="F37" s="6" t="s">
        <v>24</v>
      </c>
      <c r="G37" s="8"/>
      <c r="H37" s="7"/>
      <c r="I37" s="7"/>
      <c r="J37" s="7">
        <v>82</v>
      </c>
      <c r="K37" s="7">
        <v>82</v>
      </c>
      <c r="L37" s="7">
        <f>RANK(J37,$J$2:$J$47,0)+COUNTIF($J$2:J37,J37)-1</f>
        <v>4</v>
      </c>
      <c r="M37" s="7" t="str">
        <f>IF(G37="","",RANK(G37,$G$2:$G$47,0)+COUNTIF($G$2:G37,G37)-1)</f>
        <v/>
      </c>
    </row>
    <row r="38" spans="1:13" x14ac:dyDescent="0.25">
      <c r="A38" s="6" t="s">
        <v>25</v>
      </c>
      <c r="B38" s="6" t="s">
        <v>113</v>
      </c>
      <c r="C38" s="7">
        <v>3</v>
      </c>
      <c r="D38" s="6" t="s">
        <v>114</v>
      </c>
      <c r="E38" s="7">
        <v>6</v>
      </c>
      <c r="F38" s="6" t="s">
        <v>26</v>
      </c>
      <c r="G38" s="8"/>
      <c r="H38" s="7"/>
      <c r="I38" s="7"/>
      <c r="J38" s="7">
        <v>8</v>
      </c>
      <c r="K38" s="7">
        <v>8</v>
      </c>
      <c r="L38" s="7">
        <f>RANK(J38,$J$2:$J$47,0)+COUNTIF($J$2:J38,J38)-1</f>
        <v>35</v>
      </c>
      <c r="M38" s="7" t="str">
        <f>IF(G38="","",RANK(G38,$G$2:$G$47,0)+COUNTIF($G$2:G38,G38)-1)</f>
        <v/>
      </c>
    </row>
    <row r="39" spans="1:13" x14ac:dyDescent="0.25">
      <c r="A39" s="6" t="s">
        <v>27</v>
      </c>
      <c r="B39" s="6" t="s">
        <v>115</v>
      </c>
      <c r="C39" s="7">
        <v>2</v>
      </c>
      <c r="D39" s="6" t="s">
        <v>116</v>
      </c>
      <c r="E39" s="7">
        <v>6</v>
      </c>
      <c r="F39" s="6" t="s">
        <v>26</v>
      </c>
      <c r="G39" s="8">
        <v>4.4400000000000004</v>
      </c>
      <c r="H39" s="7">
        <v>4</v>
      </c>
      <c r="I39" s="7"/>
      <c r="J39" s="7">
        <v>11</v>
      </c>
      <c r="K39" s="7">
        <v>11</v>
      </c>
      <c r="L39" s="7">
        <f>RANK(J39,$J$2:$J$47,0)+COUNTIF($J$2:J39,J39)-1</f>
        <v>28</v>
      </c>
      <c r="M39" s="7">
        <f>IF(G39="","",RANK(G39,$G$2:$G$47,0)+COUNTIF($G$2:G39,G39)-1)</f>
        <v>2</v>
      </c>
    </row>
    <row r="40" spans="1:13" x14ac:dyDescent="0.25">
      <c r="A40" s="6" t="s">
        <v>27</v>
      </c>
      <c r="B40" s="6" t="s">
        <v>117</v>
      </c>
      <c r="C40" s="7">
        <v>1</v>
      </c>
      <c r="D40" s="6" t="s">
        <v>118</v>
      </c>
      <c r="E40" s="7">
        <v>6</v>
      </c>
      <c r="F40" s="6" t="s">
        <v>26</v>
      </c>
      <c r="G40" s="8">
        <v>3.87</v>
      </c>
      <c r="H40" s="7">
        <v>5</v>
      </c>
      <c r="I40" s="7"/>
      <c r="J40" s="7">
        <v>8</v>
      </c>
      <c r="K40" s="7">
        <v>8</v>
      </c>
      <c r="L40" s="7">
        <f>RANK(J40,$J$2:$J$47,0)+COUNTIF($J$2:J40,J40)-1</f>
        <v>36</v>
      </c>
      <c r="M40" s="7">
        <f>IF(G40="","",RANK(G40,$G$2:$G$47,0)+COUNTIF($G$2:G40,G40)-1)</f>
        <v>23</v>
      </c>
    </row>
    <row r="41" spans="1:13" x14ac:dyDescent="0.25">
      <c r="A41" s="6" t="s">
        <v>27</v>
      </c>
      <c r="B41" s="6" t="s">
        <v>119</v>
      </c>
      <c r="C41" s="7">
        <v>1</v>
      </c>
      <c r="D41" s="6" t="s">
        <v>120</v>
      </c>
      <c r="E41" s="7">
        <v>6</v>
      </c>
      <c r="F41" s="6" t="s">
        <v>26</v>
      </c>
      <c r="G41" s="8">
        <v>3.88</v>
      </c>
      <c r="H41" s="7">
        <v>8</v>
      </c>
      <c r="I41" s="7"/>
      <c r="J41" s="7">
        <v>6</v>
      </c>
      <c r="K41" s="7">
        <v>6</v>
      </c>
      <c r="L41" s="7">
        <f>RANK(J41,$J$2:$J$47,0)+COUNTIF($J$2:J41,J41)-1</f>
        <v>41</v>
      </c>
      <c r="M41" s="7">
        <f>IF(G41="","",RANK(G41,$G$2:$G$47,0)+COUNTIF($G$2:G41,G41)-1)</f>
        <v>22</v>
      </c>
    </row>
    <row r="42" spans="1:13" x14ac:dyDescent="0.25">
      <c r="A42" s="6" t="s">
        <v>27</v>
      </c>
      <c r="B42" s="6" t="s">
        <v>121</v>
      </c>
      <c r="C42" s="7">
        <v>1</v>
      </c>
      <c r="D42" s="6" t="s">
        <v>122</v>
      </c>
      <c r="E42" s="7">
        <v>6</v>
      </c>
      <c r="F42" s="6" t="s">
        <v>26</v>
      </c>
      <c r="G42" s="8"/>
      <c r="H42" s="7"/>
      <c r="I42" s="7"/>
      <c r="J42" s="7">
        <v>6</v>
      </c>
      <c r="K42" s="7">
        <v>6</v>
      </c>
      <c r="L42" s="7">
        <f>RANK(J42,$J$2:$J$47,0)+COUNTIF($J$2:J42,J42)-1</f>
        <v>42</v>
      </c>
      <c r="M42" s="7" t="str">
        <f>IF(G42="","",RANK(G42,$G$2:$G$47,0)+COUNTIF($G$2:G42,G42)-1)</f>
        <v/>
      </c>
    </row>
    <row r="43" spans="1:13" x14ac:dyDescent="0.25">
      <c r="A43" s="6" t="s">
        <v>27</v>
      </c>
      <c r="B43" s="6" t="s">
        <v>123</v>
      </c>
      <c r="C43" s="7">
        <v>1</v>
      </c>
      <c r="D43" s="6" t="s">
        <v>124</v>
      </c>
      <c r="E43" s="7">
        <v>6</v>
      </c>
      <c r="F43" s="6" t="s">
        <v>26</v>
      </c>
      <c r="G43" s="8">
        <v>3.24</v>
      </c>
      <c r="H43" s="7">
        <v>4</v>
      </c>
      <c r="I43" s="7"/>
      <c r="J43" s="7">
        <v>6</v>
      </c>
      <c r="K43" s="7">
        <v>6</v>
      </c>
      <c r="L43" s="7">
        <f>RANK(J43,$J$2:$J$47,0)+COUNTIF($J$2:J43,J43)-1</f>
        <v>43</v>
      </c>
      <c r="M43" s="7">
        <f>IF(G43="","",RANK(G43,$G$2:$G$47,0)+COUNTIF($G$2:G43,G43)-1)</f>
        <v>31</v>
      </c>
    </row>
    <row r="44" spans="1:13" x14ac:dyDescent="0.25">
      <c r="A44" s="6" t="s">
        <v>27</v>
      </c>
      <c r="B44" s="6" t="s">
        <v>125</v>
      </c>
      <c r="C44" s="7">
        <v>1</v>
      </c>
      <c r="D44" s="6" t="s">
        <v>126</v>
      </c>
      <c r="E44" s="7">
        <v>6</v>
      </c>
      <c r="F44" s="6" t="s">
        <v>26</v>
      </c>
      <c r="G44" s="8">
        <v>4.0199999999999996</v>
      </c>
      <c r="H44" s="7">
        <v>6</v>
      </c>
      <c r="I44" s="7"/>
      <c r="J44" s="7">
        <v>6</v>
      </c>
      <c r="K44" s="7">
        <v>6</v>
      </c>
      <c r="L44" s="7">
        <f>RANK(J44,$J$2:$J$47,0)+COUNTIF($J$2:J44,J44)-1</f>
        <v>44</v>
      </c>
      <c r="M44" s="7">
        <f>IF(G44="","",RANK(G44,$G$2:$G$47,0)+COUNTIF($G$2:G44,G44)-1)</f>
        <v>16</v>
      </c>
    </row>
    <row r="45" spans="1:13" x14ac:dyDescent="0.25">
      <c r="A45" s="6" t="s">
        <v>27</v>
      </c>
      <c r="B45" s="6" t="s">
        <v>127</v>
      </c>
      <c r="C45" s="7">
        <v>1</v>
      </c>
      <c r="D45" s="6" t="s">
        <v>128</v>
      </c>
      <c r="E45" s="7">
        <v>7</v>
      </c>
      <c r="F45" s="6" t="s">
        <v>26</v>
      </c>
      <c r="G45" s="8"/>
      <c r="H45" s="7"/>
      <c r="I45" s="7"/>
      <c r="J45" s="7">
        <v>3</v>
      </c>
      <c r="K45" s="7">
        <v>3</v>
      </c>
      <c r="L45" s="7">
        <f>RANK(J45,$J$2:$J$47,0)+COUNTIF($J$2:J45,J45)-1</f>
        <v>46</v>
      </c>
      <c r="M45" s="7" t="str">
        <f>IF(G45="","",RANK(G45,$G$2:$G$47,0)+COUNTIF($G$2:G45,G45)-1)</f>
        <v/>
      </c>
    </row>
    <row r="46" spans="1:13" x14ac:dyDescent="0.25">
      <c r="A46" s="6" t="s">
        <v>27</v>
      </c>
      <c r="B46" s="6" t="s">
        <v>129</v>
      </c>
      <c r="C46" s="7">
        <v>1</v>
      </c>
      <c r="D46" s="6" t="s">
        <v>130</v>
      </c>
      <c r="E46" s="7">
        <v>7</v>
      </c>
      <c r="F46" s="6" t="s">
        <v>26</v>
      </c>
      <c r="G46" s="8"/>
      <c r="H46" s="7"/>
      <c r="I46" s="7"/>
      <c r="J46" s="7">
        <v>4</v>
      </c>
      <c r="K46" s="7">
        <v>4</v>
      </c>
      <c r="L46" s="7">
        <f>RANK(J46,$J$2:$J$47,0)+COUNTIF($J$2:J46,J46)-1</f>
        <v>45</v>
      </c>
      <c r="M46" s="7" t="str">
        <f>IF(G46="","",RANK(G46,$G$2:$G$47,0)+COUNTIF($G$2:G46,G46)-1)</f>
        <v/>
      </c>
    </row>
    <row r="47" spans="1:13" x14ac:dyDescent="0.25">
      <c r="A47" s="6" t="s">
        <v>27</v>
      </c>
      <c r="B47" s="6" t="s">
        <v>131</v>
      </c>
      <c r="C47" s="7">
        <v>2</v>
      </c>
      <c r="D47" s="6" t="s">
        <v>132</v>
      </c>
      <c r="E47" s="7">
        <v>7</v>
      </c>
      <c r="F47" s="6" t="s">
        <v>24</v>
      </c>
      <c r="G47" s="8">
        <v>3.99</v>
      </c>
      <c r="H47" s="7"/>
      <c r="I47" s="7"/>
      <c r="J47" s="7">
        <v>76</v>
      </c>
      <c r="K47" s="7">
        <v>76</v>
      </c>
      <c r="L47" s="7">
        <f>RANK(J47,$J$2:$J$47,0)+COUNTIF($J$2:J47,J47)-1</f>
        <v>5</v>
      </c>
      <c r="M47" s="7">
        <f>IF(G47="","",RANK(G47,$G$2:$G$47,0)+COUNTIF($G$2:G47,G47)-1)</f>
        <v>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Dashboard</vt:lpstr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Petek KARACA</cp:lastModifiedBy>
  <dcterms:created xsi:type="dcterms:W3CDTF">2026-08-17T06:54:43Z</dcterms:created>
  <dcterms:modified xsi:type="dcterms:W3CDTF">2026-08-17T06:54:52Z</dcterms:modified>
</cp:coreProperties>
</file>